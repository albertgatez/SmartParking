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5"/>
  </sheets>
  <definedNames/>
  <calcPr/>
</workbook>
</file>

<file path=xl/sharedStrings.xml><?xml version="1.0" encoding="utf-8"?>
<sst xmlns="http://schemas.openxmlformats.org/spreadsheetml/2006/main" count="207" uniqueCount="145">
  <si>
    <t>RISK REGISTER</t>
  </si>
  <si>
    <t>Registre riesgos antes de que ocurran y actualice su estado durante la ejecución. Probabilidad e impacto se califican de 1 a 5.</t>
  </si>
  <si>
    <t>ID</t>
  </si>
  <si>
    <t>Riesgo / condición</t>
  </si>
  <si>
    <t>Causa</t>
  </si>
  <si>
    <t>Prob.</t>
  </si>
  <si>
    <t>Impacto</t>
  </si>
  <si>
    <t>Exposición</t>
  </si>
  <si>
    <t>Prioridad</t>
  </si>
  <si>
    <t>Respuesta preventiva</t>
  </si>
  <si>
    <t>Contingencia</t>
  </si>
  <si>
    <t>Owner</t>
  </si>
  <si>
    <t>Estado</t>
  </si>
  <si>
    <t>Evidencia / Issue</t>
  </si>
  <si>
    <t>Última revisión</t>
  </si>
  <si>
    <t>R-01</t>
  </si>
  <si>
    <t>Lecturas incorrectas de los sensores de estacionamiento</t>
  </si>
  <si>
    <t>Interferencia, mala calibración o instalación incorrecta de los sensores.</t>
  </si>
  <si>
    <t>Calibrar sensores, establecer parámetros de detección y realizar pruebas con diferentes distancias.</t>
  </si>
  <si>
    <t>Ajustar parámetros, reemplazar sensor o cambiar temporalmente a validación manual.</t>
  </si>
  <si>
    <t>Santiago</t>
  </si>
  <si>
    <t>Abierto</t>
  </si>
  <si>
    <t>Pendiente de asignar ISSUE</t>
  </si>
  <si>
    <t>R-02</t>
  </si>
  <si>
    <t>Pérdida o retraso en la comunicación MQTT</t>
  </si>
  <si>
    <t>Interrupciones de red, configuración incorrecta o saturación del broker.</t>
  </si>
  <si>
    <t>Configurar correctamente broker, tópicos y QoS; realizar pruebas de conexión y monitoreo.</t>
  </si>
  <si>
    <t>Reconectar automáticamente y almacenar temporalmente los datos para reenviarlos.</t>
  </si>
  <si>
    <t>R-03</t>
  </si>
  <si>
    <t>Conflicto de reservas sobre un mismo espacio</t>
  </si>
  <si>
    <t>Dos usuarios intentan reservar el mismo espacio simultáneamente.</t>
  </si>
  <si>
    <t>Verificar disponibilidad nuevamente antes de confirmar y utilizar estados temporales de reserva.</t>
  </si>
  <si>
    <t>Cancelar la operación duplicada y liberar el espacio para permitir una nueva reserva.</t>
  </si>
  <si>
    <t>Alberto</t>
  </si>
  <si>
    <t>R-04</t>
  </si>
  <si>
    <t>Falla en el servicio de pagos</t>
  </si>
  <si>
    <t>Indisponibilidad o errores de la plataforma de pagos externa.</t>
  </si>
  <si>
    <t>Validar respuestas de la API, manejar errores y no confirmar una reserva hasta validar el pago.</t>
  </si>
  <si>
    <t>Mantener la reserva pendiente y permitir reintentar el pago cuando el servicio esté disponible.</t>
  </si>
  <si>
    <t>Fernando</t>
  </si>
  <si>
    <t>R-05</t>
  </si>
  <si>
    <t>Pérdida de conexión con Supabase</t>
  </si>
  <si>
    <t>Fallas de Internet, servicio no disponible o errores de conexión.</t>
  </si>
  <si>
    <t>Implementar manejo de errores, reconexión y validación de respuestas del servicio.</t>
  </si>
  <si>
    <t>Reintentar conexión y conservar temporalmente los datos necesarios hasta recuperar el servicio.</t>
  </si>
  <si>
    <t>R-06</t>
  </si>
  <si>
    <t>Fallas de comunicación entre hardware y software</t>
  </si>
  <si>
    <t>Errores en protocolos, configuración, conexiones o procesamiento de datos.</t>
  </si>
  <si>
    <t>Definir protocolos y formatos de datos, además de realizar pruebas de integración progresivas.</t>
  </si>
  <si>
    <t>Aislar el componente que presenta la falla y utilizar comunicación local/manual para diagnóstico.</t>
  </si>
  <si>
    <t>R-07</t>
  </si>
  <si>
    <t>Sobrecarga del sistema al aumentar sensores o usuarios</t>
  </si>
  <si>
    <t>Incremento de conexiones, mensajes MQTT o solicitudes al backend.</t>
  </si>
  <si>
    <t>Realizar pruebas de carga y monitorear CPU, memoria, conexiones y tiempos de respuesta.</t>
  </si>
  <si>
    <t>Reducir temporalmente la frecuencia de actualización y optimizar servicios o recursos.</t>
  </si>
  <si>
    <t xml:space="preserve">Fernando </t>
  </si>
  <si>
    <t>R-08</t>
  </si>
  <si>
    <t>Vulnerabilidad o acceso no autorizado a los datos</t>
  </si>
  <si>
    <t>Configuración insegura, credenciales expuestas o validaciones insuficientes.</t>
  </si>
  <si>
    <t>Utilizar autenticación, JWT, HTTPS, control de roles y protección de credenciales.</t>
  </si>
  <si>
    <t>Revocar credenciales comprometidas, bloquear accesos afectados y corregir la vulnerabilidad.</t>
  </si>
  <si>
    <t>R-09</t>
  </si>
  <si>
    <t>Usuario no se presenta a su reserva</t>
  </si>
  <si>
    <t>El usuario reserva un espacio y no llega dentro del periodo establecido.</t>
  </si>
  <si>
    <t>Establecer límite de tiempo para conservar una reserva y enviar recordatorios.</t>
  </si>
  <si>
    <t>Liberar automáticamente el espacio después del tiempo establecido.</t>
  </si>
  <si>
    <t xml:space="preserve">Alberto </t>
  </si>
  <si>
    <t>R-10</t>
  </si>
  <si>
    <t>Fallo de un componente de hardware</t>
  </si>
  <si>
    <t>Daño, desgaste, desconexión o defecto de sensores, Arduino o Raspberry Pi.</t>
  </si>
  <si>
    <t>Revisar conexiones, realizar pruebas individuales y contar con componentes de reemplazo.</t>
  </si>
  <si>
    <t>Sustituir el componente defectuoso y marcar temporalmente el espacio como no disponible.</t>
  </si>
  <si>
    <t>R-11</t>
  </si>
  <si>
    <t>Cambios de requisitos durante la construcción</t>
  </si>
  <si>
    <t>Nuevas necesidades, restricciones o modificaciones solicitadas durante el desarrollo.</t>
  </si>
  <si>
    <t>Revisar y documentar cada cambio, analizar su impacto y aprobarlo antes de incorporarlo.</t>
  </si>
  <si>
    <t>Reprogramar actividades y actualizar WBS, RACI, riesgos y cronograma cuando sea necesario.</t>
  </si>
  <si>
    <t>Alberto / Fernando / Santiago</t>
  </si>
  <si>
    <t>R-12</t>
  </si>
  <si>
    <t>Falta de disponibilidad de componentes durante la construcción</t>
  </si>
  <si>
    <t>Retrasos o dificultades para adquirir sensores, cables u otros componentes</t>
  </si>
  <si>
    <t>Identificar componentes necesarios con anticipación y considerar alternativas compatibles</t>
  </si>
  <si>
    <t>Sustituir temporalmente por un componente equivalente o ajustar las pruebas</t>
  </si>
  <si>
    <t>R-13</t>
  </si>
  <si>
    <t>Errores en la información almacenada</t>
  </si>
  <si>
    <t>Validaciones insuficientes, errores de programación o inconsistencias en las operaciones de BD.</t>
  </si>
  <si>
    <t>Validar entradas, definir restricciones de BD y realizar pruebas de operaciones CRUD.</t>
  </si>
  <si>
    <t>Corregir registros afectados y recuperar información mediante respaldos cuando sea necesario.</t>
  </si>
  <si>
    <t>R-14</t>
  </si>
  <si>
    <t>Fallo en las notificaciones push</t>
  </si>
  <si>
    <t>Configuración incorrecta de FCM, permisos o problemas de comunicación.</t>
  </si>
  <si>
    <t>Configurar correctamente FCM y realizar pruebas de envío y recepción en diferentes dispositivos.</t>
  </si>
  <si>
    <t>Mostrar el estado de la reserva directamente en la aplicación y reintentar el envío.</t>
  </si>
  <si>
    <t>R-15</t>
  </si>
  <si>
    <t>Información de disponibilidad desactualizada</t>
  </si>
  <si>
    <t>Retraso en la transmisión de datos o fallo en sensores/comunicación.</t>
  </si>
  <si>
    <t>Establecer actualización periódica, monitorear comunicación y validar la antigüedad de los datos.</t>
  </si>
  <si>
    <t>Marcar la disponibilidad como no confiable/pendiente y actualizarla al recuperar la comunicación.</t>
  </si>
  <si>
    <t>R-16</t>
  </si>
  <si>
    <t>Errores en la interfaz de usuario</t>
  </si>
  <si>
    <t>Errores de diseño, navegación o validación de datos</t>
  </si>
  <si>
    <t>Realizar pruebas de navegación, validación de campos y revisión de pantallas</t>
  </si>
  <si>
    <t>Corregir la interfaz y repetir las pruebas afectadas</t>
  </si>
  <si>
    <t>Alberto / Fernando</t>
  </si>
  <si>
    <t>R-17</t>
  </si>
  <si>
    <t>Consumo elevado de recursos en Raspberry Pi</t>
  </si>
  <si>
    <t>Incremento de sensores, mensajes MQTT o procesos ejecutándose simultáneamente</t>
  </si>
  <si>
    <t>Monitorear CPU, RAM y procesos durante las pruebas</t>
  </si>
  <si>
    <t>Reducir frecuencia de actualización, optimizar procesos o reiniciar servicios</t>
  </si>
  <si>
    <t>R-18</t>
  </si>
  <si>
    <t>Dificultad para interpretar los estados de los espacios</t>
  </si>
  <si>
    <t>Estados o indicadores visuales poco claros para el usuario</t>
  </si>
  <si>
    <t>Definir indicadores claros para disponible, ocupado, reservado y otros estados</t>
  </si>
  <si>
    <t>Ajustar colores, iconos, textos o distribución de la información</t>
  </si>
  <si>
    <t>Alberto / Santiago</t>
  </si>
  <si>
    <t>R-19</t>
  </si>
  <si>
    <t>Retraso en actividades del proyecto</t>
  </si>
  <si>
    <t>Subestimación de tiempos, bloqueos técnicos o incumplimiento de tareas.</t>
  </si>
  <si>
    <t>Dar seguimiento al cronograma, actualizar GitHub Project y reportar bloqueos oportunamente.</t>
  </si>
  <si>
    <t>Reorganizar prioridades, reasignar tareas y actualizar el cronograma.</t>
  </si>
  <si>
    <t>R-20</t>
  </si>
  <si>
    <t>Errores en la configuración del entorno de desarrollo</t>
  </si>
  <si>
    <t>Configuraciones diferentes entre equipos o dependencias incorrectas</t>
  </si>
  <si>
    <t>Documentar versiones, dependencias y configuración requerida</t>
  </si>
  <si>
    <t>Reinstalar/configurar el entorno siguiendo la documentación del proyecto</t>
  </si>
  <si>
    <t>R-21</t>
  </si>
  <si>
    <t>Cambios menores en la interfaz durante el desarrollo</t>
  </si>
  <si>
    <t>Ajustes derivados de pruebas, retroalimentación o mejoras de navegación</t>
  </si>
  <si>
    <t>Registrar los cambios y evaluar su impacto antes de implementarlos</t>
  </si>
  <si>
    <t>Reprogramar el cambio para una iteración posterior si afecta otras actividades</t>
  </si>
  <si>
    <t>R-22</t>
  </si>
  <si>
    <t>Incompatibilidad de la aplicación con algunos dispositivos</t>
  </si>
  <si>
    <t>Diferencias de versiones, resolución o características del dispositivo</t>
  </si>
  <si>
    <t>Realizar pruebas en diferentes versiones y tamaños de pantalla</t>
  </si>
  <si>
    <t>Corregir problemas de compatibilidad y establecer versión mínima soportada</t>
  </si>
  <si>
    <t>R-23</t>
  </si>
  <si>
    <t>Pérdida de información por falta de respaldos</t>
  </si>
  <si>
    <t>Ausencia de copias de seguridad de la información almacenada</t>
  </si>
  <si>
    <t>Establecer respaldos periódicos de la base de datos y verificar su recuperación</t>
  </si>
  <si>
    <t>Restaurar la última copia disponible y recuperar los registros afectados</t>
  </si>
  <si>
    <t>R-24</t>
  </si>
  <si>
    <t>Pérdida o desorganización de evidencias y documentación</t>
  </si>
  <si>
    <t>Archivos almacenados sin estructura o sin control de versiones</t>
  </si>
  <si>
    <t>Mantener documentación y evidencias organizadas en el repositorio</t>
  </si>
  <si>
    <t>Recuperar archivos desde GitHub, copias locales o registros disponibles y reorganizarlos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</si>
</sst>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rgb="FF000000"/>
      <name val="Carlito"/>
      <scheme val="minor"/>
    </font>
    <font>
      <b/>
      <sz val="16.0"/>
      <color rgb="FFFFFFFF"/>
      <name val="Carlito"/>
    </font>
    <font>
      <sz val="10.0"/>
      <color rgb="FF38556F"/>
      <name val="Carlito"/>
    </font>
    <font>
      <b/>
      <sz val="10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color theme="1"/>
      <name val="Carlito"/>
    </font>
    <font>
      <b/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C2848"/>
        <bgColor rgb="FF0C2848"/>
      </patternFill>
    </fill>
    <fill>
      <patternFill patternType="solid">
        <fgColor rgb="FFEEF6FD"/>
        <bgColor rgb="FFEEF6FD"/>
      </patternFill>
    </fill>
    <fill>
      <patternFill patternType="solid">
        <fgColor rgb="FF2778C9"/>
        <bgColor rgb="FF2778C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shrinkToFit="0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9A3442"/>
      </font>
      <fill>
        <patternFill patternType="solid">
          <fgColor rgb="FFFDE7EA"/>
          <bgColor rgb="FFFDE7EA"/>
        </patternFill>
      </fill>
      <border/>
    </dxf>
    <dxf>
      <font>
        <b/>
        <color rgb="FF8B6514"/>
      </font>
      <fill>
        <patternFill patternType="solid">
          <fgColor rgb="FFFFF4D6"/>
          <bgColor rgb="FFFFF4D6"/>
        </patternFill>
      </fill>
      <border/>
    </dxf>
    <dxf>
      <font>
        <b/>
        <color rgb="FF28705A"/>
      </font>
      <fill>
        <patternFill patternType="solid">
          <fgColor rgb="FFEAF7F1"/>
          <bgColor rgb="FFEAF7F1"/>
        </patternFill>
      </fill>
      <border/>
    </dxf>
  </dxfs>
  <tableStyles count="1">
    <tableStyle count="4" pivot="0" name="Risk Regi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M28" displayName="RiskTable" name="RiskTable" id="1">
  <tableColumns count="13">
    <tableColumn name="ID" id="1"/>
    <tableColumn name="Riesgo / condición" id="2"/>
    <tableColumn name="Causa" id="3"/>
    <tableColumn name="Prob." id="4"/>
    <tableColumn name="Impacto" id="5"/>
    <tableColumn name="Exposición" id="6"/>
    <tableColumn name="Prioridad" id="7"/>
    <tableColumn name="Respuesta preventiva" id="8"/>
    <tableColumn name="Contingencia" id="9"/>
    <tableColumn name="Owner" id="10"/>
    <tableColumn name="Estado" id="11"/>
    <tableColumn name="Evidencia / Issue" id="12"/>
    <tableColumn name="Última revisión" id="13"/>
  </tableColumns>
  <tableStyleInfo name="Risk Regi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0.0"/>
    <col customWidth="1" min="3" max="3" width="24.0"/>
    <col customWidth="1" min="4" max="4" width="9.0"/>
    <col customWidth="1" min="5" max="5" width="11.13"/>
    <col customWidth="1" min="6" max="6" width="12.13"/>
    <col customWidth="1" min="7" max="7" width="11.0"/>
    <col customWidth="1" min="8" max="9" width="30.0"/>
    <col customWidth="1" min="10" max="10" width="18.0"/>
    <col customWidth="1" min="11" max="11" width="15.0"/>
    <col customWidth="1" min="12" max="12" width="20.0"/>
    <col customWidth="1" min="13" max="13" width="16.0"/>
    <col customWidth="1" min="14" max="26" width="8.63"/>
  </cols>
  <sheetData>
    <row r="1" ht="30.0" customHeight="1">
      <c r="A1" s="1" t="s">
        <v>0</v>
      </c>
    </row>
    <row r="2" ht="27.75" customHeight="1">
      <c r="A2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>
      <c r="A5" s="4" t="s">
        <v>15</v>
      </c>
      <c r="B5" s="4" t="s">
        <v>16</v>
      </c>
      <c r="C5" s="5" t="s">
        <v>17</v>
      </c>
      <c r="D5" s="6">
        <v>4.0</v>
      </c>
      <c r="E5" s="6">
        <v>5.0</v>
      </c>
      <c r="F5" s="7">
        <f t="shared" ref="F5:F28" si="1">D5*E5</f>
        <v>20</v>
      </c>
      <c r="G5" s="8" t="str">
        <f t="shared" ref="G5:G28" si="2">IF(F5&gt;=15,"Alta",IF(F5&gt;=6,"Media","Baja"))</f>
        <v>Alta</v>
      </c>
      <c r="H5" s="9" t="s">
        <v>18</v>
      </c>
      <c r="I5" s="9" t="s">
        <v>19</v>
      </c>
      <c r="J5" s="10" t="s">
        <v>20</v>
      </c>
      <c r="K5" s="8" t="s">
        <v>21</v>
      </c>
      <c r="L5" s="4" t="s">
        <v>22</v>
      </c>
      <c r="M5" s="11">
        <v>46282.0</v>
      </c>
    </row>
    <row r="6">
      <c r="A6" s="4" t="s">
        <v>23</v>
      </c>
      <c r="B6" s="4" t="s">
        <v>24</v>
      </c>
      <c r="C6" s="5" t="s">
        <v>25</v>
      </c>
      <c r="D6" s="6">
        <v>3.0</v>
      </c>
      <c r="E6" s="6">
        <v>5.0</v>
      </c>
      <c r="F6" s="7">
        <f t="shared" si="1"/>
        <v>15</v>
      </c>
      <c r="G6" s="8" t="str">
        <f t="shared" si="2"/>
        <v>Alta</v>
      </c>
      <c r="H6" s="9" t="s">
        <v>26</v>
      </c>
      <c r="I6" s="9" t="s">
        <v>27</v>
      </c>
      <c r="J6" s="10" t="s">
        <v>20</v>
      </c>
      <c r="K6" s="8" t="s">
        <v>21</v>
      </c>
      <c r="L6" s="4" t="s">
        <v>22</v>
      </c>
      <c r="M6" s="11">
        <v>46282.0</v>
      </c>
    </row>
    <row r="7">
      <c r="A7" s="4" t="s">
        <v>28</v>
      </c>
      <c r="B7" s="4" t="s">
        <v>29</v>
      </c>
      <c r="C7" s="5" t="s">
        <v>30</v>
      </c>
      <c r="D7" s="6">
        <v>3.0</v>
      </c>
      <c r="E7" s="6">
        <v>5.0</v>
      </c>
      <c r="F7" s="7">
        <f t="shared" si="1"/>
        <v>15</v>
      </c>
      <c r="G7" s="8" t="str">
        <f t="shared" si="2"/>
        <v>Alta</v>
      </c>
      <c r="H7" s="9" t="s">
        <v>31</v>
      </c>
      <c r="I7" s="9" t="s">
        <v>32</v>
      </c>
      <c r="J7" s="10" t="s">
        <v>33</v>
      </c>
      <c r="K7" s="8" t="s">
        <v>21</v>
      </c>
      <c r="L7" s="4" t="s">
        <v>22</v>
      </c>
      <c r="M7" s="11">
        <v>46282.0</v>
      </c>
    </row>
    <row r="8">
      <c r="A8" s="4" t="s">
        <v>34</v>
      </c>
      <c r="B8" s="4" t="s">
        <v>35</v>
      </c>
      <c r="C8" s="5" t="s">
        <v>36</v>
      </c>
      <c r="D8" s="6">
        <v>3.0</v>
      </c>
      <c r="E8" s="6">
        <v>5.0</v>
      </c>
      <c r="F8" s="7">
        <f t="shared" si="1"/>
        <v>15</v>
      </c>
      <c r="G8" s="8" t="str">
        <f t="shared" si="2"/>
        <v>Alta</v>
      </c>
      <c r="H8" s="9" t="s">
        <v>37</v>
      </c>
      <c r="I8" s="9" t="s">
        <v>38</v>
      </c>
      <c r="J8" s="10" t="s">
        <v>39</v>
      </c>
      <c r="K8" s="8" t="s">
        <v>21</v>
      </c>
      <c r="L8" s="4" t="s">
        <v>22</v>
      </c>
      <c r="M8" s="11">
        <v>46282.0</v>
      </c>
    </row>
    <row r="9">
      <c r="A9" s="4" t="s">
        <v>40</v>
      </c>
      <c r="B9" s="4" t="s">
        <v>41</v>
      </c>
      <c r="C9" s="5" t="s">
        <v>42</v>
      </c>
      <c r="D9" s="6">
        <v>3.0</v>
      </c>
      <c r="E9" s="6">
        <v>5.0</v>
      </c>
      <c r="F9" s="7">
        <f t="shared" si="1"/>
        <v>15</v>
      </c>
      <c r="G9" s="8" t="str">
        <f t="shared" si="2"/>
        <v>Alta</v>
      </c>
      <c r="H9" s="9" t="s">
        <v>43</v>
      </c>
      <c r="I9" s="9" t="s">
        <v>44</v>
      </c>
      <c r="J9" s="10" t="s">
        <v>39</v>
      </c>
      <c r="K9" s="8" t="s">
        <v>21</v>
      </c>
      <c r="L9" s="4" t="s">
        <v>22</v>
      </c>
      <c r="M9" s="11">
        <v>46282.0</v>
      </c>
    </row>
    <row r="10">
      <c r="A10" s="4" t="s">
        <v>45</v>
      </c>
      <c r="B10" s="4" t="s">
        <v>46</v>
      </c>
      <c r="C10" s="5" t="s">
        <v>47</v>
      </c>
      <c r="D10" s="6">
        <v>3.0</v>
      </c>
      <c r="E10" s="6">
        <v>5.0</v>
      </c>
      <c r="F10" s="7">
        <f t="shared" si="1"/>
        <v>15</v>
      </c>
      <c r="G10" s="8" t="str">
        <f t="shared" si="2"/>
        <v>Alta</v>
      </c>
      <c r="H10" s="9" t="s">
        <v>48</v>
      </c>
      <c r="I10" s="9" t="s">
        <v>49</v>
      </c>
      <c r="J10" s="10" t="s">
        <v>20</v>
      </c>
      <c r="K10" s="8" t="s">
        <v>21</v>
      </c>
      <c r="L10" s="4" t="s">
        <v>22</v>
      </c>
      <c r="M10" s="11">
        <v>46282.0</v>
      </c>
    </row>
    <row r="11">
      <c r="A11" s="4" t="s">
        <v>50</v>
      </c>
      <c r="B11" s="4" t="s">
        <v>51</v>
      </c>
      <c r="C11" s="5" t="s">
        <v>52</v>
      </c>
      <c r="D11" s="6">
        <v>3.0</v>
      </c>
      <c r="E11" s="6">
        <v>4.0</v>
      </c>
      <c r="F11" s="7">
        <f t="shared" si="1"/>
        <v>12</v>
      </c>
      <c r="G11" s="8" t="str">
        <f t="shared" si="2"/>
        <v>Media</v>
      </c>
      <c r="H11" s="9" t="s">
        <v>53</v>
      </c>
      <c r="I11" s="9" t="s">
        <v>54</v>
      </c>
      <c r="J11" s="10" t="s">
        <v>55</v>
      </c>
      <c r="K11" s="8" t="s">
        <v>21</v>
      </c>
      <c r="L11" s="4" t="s">
        <v>22</v>
      </c>
      <c r="M11" s="11">
        <v>46282.0</v>
      </c>
    </row>
    <row r="12">
      <c r="A12" s="4" t="s">
        <v>56</v>
      </c>
      <c r="B12" s="4" t="s">
        <v>57</v>
      </c>
      <c r="C12" s="5" t="s">
        <v>58</v>
      </c>
      <c r="D12" s="6">
        <v>3.0</v>
      </c>
      <c r="E12" s="6">
        <v>5.0</v>
      </c>
      <c r="F12" s="7">
        <f t="shared" si="1"/>
        <v>15</v>
      </c>
      <c r="G12" s="8" t="str">
        <f t="shared" si="2"/>
        <v>Alta</v>
      </c>
      <c r="H12" s="9" t="s">
        <v>59</v>
      </c>
      <c r="I12" s="9" t="s">
        <v>60</v>
      </c>
      <c r="J12" s="10" t="s">
        <v>55</v>
      </c>
      <c r="K12" s="8" t="s">
        <v>21</v>
      </c>
      <c r="L12" s="4" t="s">
        <v>22</v>
      </c>
      <c r="M12" s="11">
        <v>46282.0</v>
      </c>
    </row>
    <row r="13">
      <c r="A13" s="4" t="s">
        <v>61</v>
      </c>
      <c r="B13" s="4" t="s">
        <v>62</v>
      </c>
      <c r="C13" s="5" t="s">
        <v>63</v>
      </c>
      <c r="D13" s="6">
        <v>3.0</v>
      </c>
      <c r="E13" s="6">
        <v>3.0</v>
      </c>
      <c r="F13" s="7">
        <f t="shared" si="1"/>
        <v>9</v>
      </c>
      <c r="G13" s="8" t="str">
        <f t="shared" si="2"/>
        <v>Media</v>
      </c>
      <c r="H13" s="9" t="s">
        <v>64</v>
      </c>
      <c r="I13" s="9" t="s">
        <v>65</v>
      </c>
      <c r="J13" s="10" t="s">
        <v>66</v>
      </c>
      <c r="K13" s="8" t="s">
        <v>21</v>
      </c>
      <c r="L13" s="4" t="s">
        <v>22</v>
      </c>
      <c r="M13" s="11">
        <v>46282.0</v>
      </c>
    </row>
    <row r="14">
      <c r="A14" s="4" t="s">
        <v>67</v>
      </c>
      <c r="B14" s="4" t="s">
        <v>68</v>
      </c>
      <c r="C14" s="5" t="s">
        <v>69</v>
      </c>
      <c r="D14" s="6">
        <v>3.0</v>
      </c>
      <c r="E14" s="6">
        <v>4.0</v>
      </c>
      <c r="F14" s="7">
        <f t="shared" si="1"/>
        <v>12</v>
      </c>
      <c r="G14" s="8" t="str">
        <f t="shared" si="2"/>
        <v>Media</v>
      </c>
      <c r="H14" s="9" t="s">
        <v>70</v>
      </c>
      <c r="I14" s="9" t="s">
        <v>71</v>
      </c>
      <c r="J14" s="10" t="s">
        <v>20</v>
      </c>
      <c r="K14" s="8" t="s">
        <v>21</v>
      </c>
      <c r="L14" s="4" t="s">
        <v>22</v>
      </c>
      <c r="M14" s="11">
        <v>46282.0</v>
      </c>
    </row>
    <row r="15">
      <c r="A15" s="4" t="s">
        <v>72</v>
      </c>
      <c r="B15" s="4" t="s">
        <v>73</v>
      </c>
      <c r="C15" s="5" t="s">
        <v>74</v>
      </c>
      <c r="D15" s="6">
        <v>3.0</v>
      </c>
      <c r="E15" s="6">
        <v>4.0</v>
      </c>
      <c r="F15" s="7">
        <f t="shared" si="1"/>
        <v>12</v>
      </c>
      <c r="G15" s="8" t="str">
        <f t="shared" si="2"/>
        <v>Media</v>
      </c>
      <c r="H15" s="9" t="s">
        <v>75</v>
      </c>
      <c r="I15" s="9" t="s">
        <v>76</v>
      </c>
      <c r="J15" s="9" t="s">
        <v>77</v>
      </c>
      <c r="K15" s="8" t="s">
        <v>21</v>
      </c>
      <c r="L15" s="4" t="s">
        <v>22</v>
      </c>
      <c r="M15" s="11">
        <v>46282.0</v>
      </c>
    </row>
    <row r="16" ht="15.75" customHeight="1">
      <c r="A16" s="4" t="s">
        <v>78</v>
      </c>
      <c r="B16" s="12" t="s">
        <v>79</v>
      </c>
      <c r="C16" s="9" t="s">
        <v>80</v>
      </c>
      <c r="D16" s="6">
        <v>2.0</v>
      </c>
      <c r="E16" s="6">
        <v>3.0</v>
      </c>
      <c r="F16" s="13">
        <f t="shared" si="1"/>
        <v>6</v>
      </c>
      <c r="G16" s="8" t="str">
        <f t="shared" si="2"/>
        <v>Media</v>
      </c>
      <c r="H16" s="9" t="s">
        <v>81</v>
      </c>
      <c r="I16" s="9" t="s">
        <v>82</v>
      </c>
      <c r="J16" s="9" t="s">
        <v>20</v>
      </c>
      <c r="K16" s="8" t="s">
        <v>21</v>
      </c>
      <c r="L16" s="4" t="s">
        <v>22</v>
      </c>
      <c r="M16" s="11">
        <v>46282.0</v>
      </c>
    </row>
    <row r="17">
      <c r="A17" s="4" t="s">
        <v>83</v>
      </c>
      <c r="B17" s="4" t="s">
        <v>84</v>
      </c>
      <c r="C17" s="5" t="s">
        <v>85</v>
      </c>
      <c r="D17" s="6">
        <v>3.0</v>
      </c>
      <c r="E17" s="6">
        <v>5.0</v>
      </c>
      <c r="F17" s="7">
        <f t="shared" si="1"/>
        <v>15</v>
      </c>
      <c r="G17" s="8" t="str">
        <f t="shared" si="2"/>
        <v>Alta</v>
      </c>
      <c r="H17" s="9" t="s">
        <v>86</v>
      </c>
      <c r="I17" s="9" t="s">
        <v>87</v>
      </c>
      <c r="J17" s="10" t="s">
        <v>39</v>
      </c>
      <c r="K17" s="8" t="s">
        <v>21</v>
      </c>
      <c r="L17" s="4" t="s">
        <v>22</v>
      </c>
      <c r="M17" s="11">
        <v>46282.0</v>
      </c>
    </row>
    <row r="18">
      <c r="A18" s="4" t="s">
        <v>88</v>
      </c>
      <c r="B18" s="4" t="s">
        <v>89</v>
      </c>
      <c r="C18" s="5" t="s">
        <v>90</v>
      </c>
      <c r="D18" s="6">
        <v>3.0</v>
      </c>
      <c r="E18" s="6">
        <v>3.0</v>
      </c>
      <c r="F18" s="7">
        <f t="shared" si="1"/>
        <v>9</v>
      </c>
      <c r="G18" s="8" t="str">
        <f t="shared" si="2"/>
        <v>Media</v>
      </c>
      <c r="H18" s="9" t="s">
        <v>91</v>
      </c>
      <c r="I18" s="9" t="s">
        <v>92</v>
      </c>
      <c r="J18" s="10" t="s">
        <v>39</v>
      </c>
      <c r="K18" s="8" t="s">
        <v>21</v>
      </c>
      <c r="L18" s="4" t="s">
        <v>22</v>
      </c>
      <c r="M18" s="11">
        <v>46282.0</v>
      </c>
    </row>
    <row r="19">
      <c r="A19" s="4" t="s">
        <v>93</v>
      </c>
      <c r="B19" s="4" t="s">
        <v>94</v>
      </c>
      <c r="C19" s="5" t="s">
        <v>95</v>
      </c>
      <c r="D19" s="6">
        <v>4.0</v>
      </c>
      <c r="E19" s="6">
        <v>5.0</v>
      </c>
      <c r="F19" s="7">
        <f t="shared" si="1"/>
        <v>20</v>
      </c>
      <c r="G19" s="8" t="str">
        <f t="shared" si="2"/>
        <v>Alta</v>
      </c>
      <c r="H19" s="9" t="s">
        <v>96</v>
      </c>
      <c r="I19" s="9" t="s">
        <v>97</v>
      </c>
      <c r="J19" s="10" t="s">
        <v>20</v>
      </c>
      <c r="K19" s="8" t="s">
        <v>21</v>
      </c>
      <c r="L19" s="4" t="s">
        <v>22</v>
      </c>
      <c r="M19" s="11">
        <v>46282.0</v>
      </c>
    </row>
    <row r="20" ht="15.75" customHeight="1">
      <c r="A20" s="4" t="s">
        <v>98</v>
      </c>
      <c r="B20" s="12" t="s">
        <v>99</v>
      </c>
      <c r="C20" s="9" t="s">
        <v>100</v>
      </c>
      <c r="D20" s="6">
        <v>3.0</v>
      </c>
      <c r="E20" s="6">
        <v>3.0</v>
      </c>
      <c r="F20" s="13">
        <f t="shared" si="1"/>
        <v>9</v>
      </c>
      <c r="G20" s="8" t="str">
        <f t="shared" si="2"/>
        <v>Media</v>
      </c>
      <c r="H20" s="9" t="s">
        <v>101</v>
      </c>
      <c r="I20" s="9" t="s">
        <v>102</v>
      </c>
      <c r="J20" s="9" t="s">
        <v>103</v>
      </c>
      <c r="K20" s="8" t="s">
        <v>21</v>
      </c>
      <c r="L20" s="4" t="s">
        <v>22</v>
      </c>
      <c r="M20" s="11">
        <v>46282.0</v>
      </c>
    </row>
    <row r="21" ht="15.75" customHeight="1">
      <c r="A21" s="4" t="s">
        <v>104</v>
      </c>
      <c r="B21" s="12" t="s">
        <v>105</v>
      </c>
      <c r="C21" s="9" t="s">
        <v>106</v>
      </c>
      <c r="D21" s="6">
        <v>2.0</v>
      </c>
      <c r="E21" s="6">
        <v>3.0</v>
      </c>
      <c r="F21" s="13">
        <f t="shared" si="1"/>
        <v>6</v>
      </c>
      <c r="G21" s="8" t="str">
        <f t="shared" si="2"/>
        <v>Media</v>
      </c>
      <c r="H21" s="9" t="s">
        <v>107</v>
      </c>
      <c r="I21" s="9" t="s">
        <v>108</v>
      </c>
      <c r="J21" s="9" t="s">
        <v>20</v>
      </c>
      <c r="K21" s="8" t="s">
        <v>21</v>
      </c>
      <c r="L21" s="4" t="s">
        <v>22</v>
      </c>
      <c r="M21" s="11">
        <v>46282.0</v>
      </c>
    </row>
    <row r="22" ht="15.75" customHeight="1">
      <c r="A22" s="4" t="s">
        <v>109</v>
      </c>
      <c r="B22" s="12" t="s">
        <v>110</v>
      </c>
      <c r="C22" s="9" t="s">
        <v>111</v>
      </c>
      <c r="D22" s="6">
        <v>2.0</v>
      </c>
      <c r="E22" s="6">
        <v>3.0</v>
      </c>
      <c r="F22" s="13">
        <f t="shared" si="1"/>
        <v>6</v>
      </c>
      <c r="G22" s="8" t="str">
        <f t="shared" si="2"/>
        <v>Media</v>
      </c>
      <c r="H22" s="9" t="s">
        <v>112</v>
      </c>
      <c r="I22" s="9" t="s">
        <v>113</v>
      </c>
      <c r="J22" s="9" t="s">
        <v>114</v>
      </c>
      <c r="K22" s="8" t="s">
        <v>21</v>
      </c>
      <c r="L22" s="4" t="s">
        <v>22</v>
      </c>
      <c r="M22" s="11">
        <v>46282.0</v>
      </c>
    </row>
    <row r="23">
      <c r="A23" s="4" t="s">
        <v>115</v>
      </c>
      <c r="B23" s="4" t="s">
        <v>116</v>
      </c>
      <c r="C23" s="5" t="s">
        <v>117</v>
      </c>
      <c r="D23" s="6">
        <v>4.0</v>
      </c>
      <c r="E23" s="6">
        <v>4.0</v>
      </c>
      <c r="F23" s="7">
        <f t="shared" si="1"/>
        <v>16</v>
      </c>
      <c r="G23" s="8" t="str">
        <f t="shared" si="2"/>
        <v>Alta</v>
      </c>
      <c r="H23" s="9" t="s">
        <v>118</v>
      </c>
      <c r="I23" s="9" t="s">
        <v>119</v>
      </c>
      <c r="J23" s="9" t="s">
        <v>77</v>
      </c>
      <c r="K23" s="8" t="s">
        <v>21</v>
      </c>
      <c r="L23" s="4" t="s">
        <v>22</v>
      </c>
      <c r="M23" s="11">
        <v>46282.0</v>
      </c>
    </row>
    <row r="24" ht="15.75" customHeight="1">
      <c r="A24" s="4" t="s">
        <v>120</v>
      </c>
      <c r="B24" s="12" t="s">
        <v>121</v>
      </c>
      <c r="C24" s="9" t="s">
        <v>122</v>
      </c>
      <c r="D24" s="6">
        <v>2.0</v>
      </c>
      <c r="E24" s="6">
        <v>2.0</v>
      </c>
      <c r="F24" s="13">
        <f t="shared" si="1"/>
        <v>4</v>
      </c>
      <c r="G24" s="8" t="str">
        <f t="shared" si="2"/>
        <v>Baja</v>
      </c>
      <c r="H24" s="9" t="s">
        <v>123</v>
      </c>
      <c r="I24" s="9" t="s">
        <v>124</v>
      </c>
      <c r="J24" s="9" t="s">
        <v>33</v>
      </c>
      <c r="K24" s="8" t="s">
        <v>21</v>
      </c>
      <c r="L24" s="4" t="s">
        <v>22</v>
      </c>
      <c r="M24" s="11">
        <v>46282.0</v>
      </c>
    </row>
    <row r="25" ht="15.75" customHeight="1">
      <c r="A25" s="4" t="s">
        <v>125</v>
      </c>
      <c r="B25" s="12" t="s">
        <v>126</v>
      </c>
      <c r="C25" s="9" t="s">
        <v>127</v>
      </c>
      <c r="D25" s="6">
        <v>2.0</v>
      </c>
      <c r="E25" s="6">
        <v>2.0</v>
      </c>
      <c r="F25" s="13">
        <f t="shared" si="1"/>
        <v>4</v>
      </c>
      <c r="G25" s="8" t="str">
        <f t="shared" si="2"/>
        <v>Baja</v>
      </c>
      <c r="H25" s="9" t="s">
        <v>128</v>
      </c>
      <c r="I25" s="9" t="s">
        <v>129</v>
      </c>
      <c r="J25" s="9" t="s">
        <v>33</v>
      </c>
      <c r="K25" s="8" t="s">
        <v>21</v>
      </c>
      <c r="L25" s="4" t="s">
        <v>22</v>
      </c>
      <c r="M25" s="11">
        <v>46282.0</v>
      </c>
    </row>
    <row r="26" ht="15.75" customHeight="1">
      <c r="A26" s="4" t="s">
        <v>130</v>
      </c>
      <c r="B26" s="12" t="s">
        <v>131</v>
      </c>
      <c r="C26" s="9" t="s">
        <v>132</v>
      </c>
      <c r="D26" s="6">
        <v>2.0</v>
      </c>
      <c r="E26" s="6">
        <v>3.0</v>
      </c>
      <c r="F26" s="13">
        <f t="shared" si="1"/>
        <v>6</v>
      </c>
      <c r="G26" s="8" t="str">
        <f t="shared" si="2"/>
        <v>Media</v>
      </c>
      <c r="H26" s="9" t="s">
        <v>133</v>
      </c>
      <c r="I26" s="9" t="s">
        <v>134</v>
      </c>
      <c r="J26" s="9" t="s">
        <v>66</v>
      </c>
      <c r="K26" s="8" t="s">
        <v>21</v>
      </c>
      <c r="L26" s="4" t="s">
        <v>22</v>
      </c>
      <c r="M26" s="11">
        <v>46282.0</v>
      </c>
    </row>
    <row r="27" ht="15.75" customHeight="1">
      <c r="A27" s="4" t="s">
        <v>135</v>
      </c>
      <c r="B27" s="12" t="s">
        <v>136</v>
      </c>
      <c r="C27" s="9" t="s">
        <v>137</v>
      </c>
      <c r="D27" s="6">
        <v>2.0</v>
      </c>
      <c r="E27" s="6">
        <v>4.0</v>
      </c>
      <c r="F27" s="13">
        <f t="shared" si="1"/>
        <v>8</v>
      </c>
      <c r="G27" s="8" t="str">
        <f t="shared" si="2"/>
        <v>Media</v>
      </c>
      <c r="H27" s="9" t="s">
        <v>138</v>
      </c>
      <c r="I27" s="9" t="s">
        <v>139</v>
      </c>
      <c r="J27" s="9" t="s">
        <v>39</v>
      </c>
      <c r="K27" s="8" t="s">
        <v>21</v>
      </c>
      <c r="L27" s="4" t="s">
        <v>22</v>
      </c>
      <c r="M27" s="11">
        <v>46282.0</v>
      </c>
    </row>
    <row r="28" ht="15.75" customHeight="1">
      <c r="A28" s="4" t="s">
        <v>140</v>
      </c>
      <c r="B28" s="12" t="s">
        <v>141</v>
      </c>
      <c r="C28" s="9" t="s">
        <v>142</v>
      </c>
      <c r="D28" s="6">
        <v>2.0</v>
      </c>
      <c r="E28" s="6">
        <v>3.0</v>
      </c>
      <c r="F28" s="13">
        <f t="shared" si="1"/>
        <v>6</v>
      </c>
      <c r="G28" s="8" t="str">
        <f t="shared" si="2"/>
        <v>Media</v>
      </c>
      <c r="H28" s="9" t="s">
        <v>143</v>
      </c>
      <c r="I28" s="9" t="s">
        <v>144</v>
      </c>
      <c r="J28" s="9" t="s">
        <v>33</v>
      </c>
      <c r="K28" s="8" t="s">
        <v>21</v>
      </c>
      <c r="L28" s="4" t="s">
        <v>22</v>
      </c>
      <c r="M28" s="11">
        <v>46282.0</v>
      </c>
    </row>
    <row r="29" ht="15.75" customHeight="1">
      <c r="C29" s="14"/>
      <c r="D29" s="15"/>
      <c r="E29" s="15"/>
      <c r="F29" s="15"/>
      <c r="G29" s="15"/>
      <c r="M29" s="16"/>
    </row>
    <row r="30" ht="15.75" customHeight="1">
      <c r="C30" s="14"/>
      <c r="D30" s="15"/>
      <c r="E30" s="15"/>
      <c r="F30" s="15"/>
      <c r="G30" s="15"/>
      <c r="M30" s="16"/>
    </row>
    <row r="31" ht="15.75" customHeight="1">
      <c r="C31" s="14"/>
      <c r="D31" s="15"/>
      <c r="E31" s="15"/>
      <c r="F31" s="15"/>
      <c r="G31" s="15"/>
      <c r="M31" s="16"/>
    </row>
    <row r="32" ht="15.75" customHeight="1">
      <c r="C32" s="14"/>
      <c r="D32" s="15"/>
      <c r="E32" s="15"/>
      <c r="F32" s="15"/>
      <c r="G32" s="15"/>
      <c r="M32" s="16"/>
    </row>
    <row r="33" ht="15.75" customHeight="1">
      <c r="C33" s="14"/>
      <c r="D33" s="15"/>
      <c r="E33" s="15"/>
      <c r="F33" s="15"/>
      <c r="G33" s="15"/>
      <c r="M33" s="1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B45" s="17"/>
      <c r="C45" s="17"/>
      <c r="D45" s="17"/>
      <c r="E45" s="18"/>
      <c r="F45" s="18"/>
      <c r="G45" s="18"/>
      <c r="H45" s="17"/>
      <c r="I45" s="17"/>
      <c r="J45" s="17"/>
      <c r="K45" s="17"/>
      <c r="L45" s="17"/>
      <c r="M45" s="17"/>
      <c r="N45" s="17"/>
    </row>
    <row r="46" ht="15.75" customHeight="1">
      <c r="E46" s="19"/>
      <c r="F46" s="19"/>
      <c r="G46" s="19"/>
      <c r="N46" s="16"/>
    </row>
    <row r="47" ht="15.75" customHeight="1">
      <c r="E47" s="19"/>
      <c r="F47" s="19"/>
      <c r="G47" s="19"/>
      <c r="N47" s="16"/>
    </row>
    <row r="48" ht="15.75" customHeight="1">
      <c r="E48" s="19"/>
      <c r="F48" s="19"/>
      <c r="G48" s="19"/>
      <c r="N48" s="16"/>
    </row>
    <row r="49" ht="15.75" customHeight="1">
      <c r="E49" s="19"/>
      <c r="F49" s="19"/>
      <c r="G49" s="19"/>
      <c r="N49" s="16"/>
    </row>
    <row r="50" ht="15.75" customHeight="1">
      <c r="E50" s="19"/>
      <c r="F50" s="19"/>
      <c r="G50" s="19"/>
      <c r="N50" s="16"/>
    </row>
    <row r="51" ht="15.75" customHeight="1">
      <c r="E51" s="19"/>
      <c r="F51" s="19"/>
      <c r="G51" s="19"/>
      <c r="N51" s="16"/>
    </row>
    <row r="52" ht="15.75" customHeight="1">
      <c r="E52" s="19"/>
      <c r="F52" s="19"/>
      <c r="G52" s="19"/>
      <c r="N52" s="16"/>
    </row>
    <row r="53" ht="15.75" customHeight="1">
      <c r="E53" s="19"/>
      <c r="F53" s="19"/>
      <c r="G53" s="19"/>
      <c r="N53" s="16"/>
    </row>
    <row r="54" ht="15.75" customHeight="1">
      <c r="E54" s="19"/>
      <c r="F54" s="19"/>
      <c r="G54" s="19"/>
      <c r="N54" s="16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">
    <mergeCell ref="A1:M1"/>
    <mergeCell ref="A2:M2"/>
  </mergeCells>
  <conditionalFormatting sqref="G5:G28">
    <cfRule type="expression" dxfId="5" priority="1">
      <formula>G5="Alta"</formula>
    </cfRule>
  </conditionalFormatting>
  <conditionalFormatting sqref="G5:G28">
    <cfRule type="expression" dxfId="6" priority="2">
      <formula>G5="Media"</formula>
    </cfRule>
  </conditionalFormatting>
  <conditionalFormatting sqref="G5:G28">
    <cfRule type="expression" dxfId="7" priority="3">
      <formula>G5="Baja"</formula>
    </cfRule>
  </conditionalFormatting>
  <dataValidations>
    <dataValidation type="list" allowBlank="1" sqref="K5:K28">
      <formula1>"Abierto,Mitigando,Materializado,Cerrado"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