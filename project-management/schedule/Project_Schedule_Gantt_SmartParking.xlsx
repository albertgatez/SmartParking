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<sst xmlns="http://schemas.openxmlformats.org/spreadsheetml/2006/main" count="445" uniqueCount="112">
  <si>
    <t>PROJECT SCHEDULE / GANTT</t>
  </si>
  <si>
    <t>Planeación formal derivada de la WBS. Complete fechas, duración, dependencia y responsable; la zona de Gantt se pinta automáticamente.</t>
  </si>
  <si>
    <t>WBS ID</t>
  </si>
  <si>
    <t>Actividad</t>
  </si>
  <si>
    <t>Responsable</t>
  </si>
  <si>
    <t>Inicio</t>
  </si>
  <si>
    <t>Fin</t>
  </si>
  <si>
    <t>Duración (días)</t>
  </si>
  <si>
    <t>Dependencia</t>
  </si>
  <si>
    <t>Hito</t>
  </si>
  <si>
    <t>Estado</t>
  </si>
  <si>
    <t>Agosto</t>
  </si>
  <si>
    <t>Septiembre</t>
  </si>
  <si>
    <t>Octubre</t>
  </si>
  <si>
    <t>Noviembre</t>
  </si>
  <si>
    <t>Diciembre</t>
  </si>
  <si>
    <t>Identificación de necesidades del usuario objetivo</t>
  </si>
  <si>
    <t>Todo el equipo</t>
  </si>
  <si>
    <t>—</t>
  </si>
  <si>
    <t>No</t>
  </si>
  <si>
    <t>Terminada</t>
  </si>
  <si>
    <t>07-sep</t>
  </si>
  <si>
    <t>14-sep</t>
  </si>
  <si>
    <t>21-sep</t>
  </si>
  <si>
    <t>28-sep</t>
  </si>
  <si>
    <t>Entrevistas, análisis e identificación de prioridades</t>
  </si>
  <si>
    <t>Santiago</t>
  </si>
  <si>
    <t>Documentación de requerimientos y delimitación del alcance</t>
  </si>
  <si>
    <t>Fernando</t>
  </si>
  <si>
    <t>1.1, 1.2</t>
  </si>
  <si>
    <t>Sí</t>
  </si>
  <si>
    <t>Identificación de riesgos</t>
  </si>
  <si>
    <t>Evaluación de impacto de los riesgos</t>
  </si>
  <si>
    <t>Plan de mitigación</t>
  </si>
  <si>
    <t>Diagrama de bloques de la arquitectura</t>
  </si>
  <si>
    <t>Diagramas de flujo y secuencia de datos</t>
  </si>
  <si>
    <t>Definición de módulos de la arquitectura</t>
  </si>
  <si>
    <t>3.1, 3.2</t>
  </si>
  <si>
    <t>Modelo entidad-relación</t>
  </si>
  <si>
    <t>Alberto</t>
  </si>
  <si>
    <t>Diseño de tablas</t>
  </si>
  <si>
    <t>Definición de relaciones</t>
  </si>
  <si>
    <t>Alberto y Fernando</t>
  </si>
  <si>
    <t>Programación de Arduino</t>
  </si>
  <si>
    <t>3.3, 4.3</t>
  </si>
  <si>
    <t>Configuración del comportamiento de sensores</t>
  </si>
  <si>
    <t>Control de LEDs</t>
  </si>
  <si>
    <t>Santiago y Fernando</t>
  </si>
  <si>
    <t>Diseño de interfaz de usuario</t>
  </si>
  <si>
    <t>Navegación y priorización de funcionalidades</t>
  </si>
  <si>
    <t>Registro e inicio de sesión</t>
  </si>
  <si>
    <t>4.3, 6.2</t>
  </si>
  <si>
    <t>Flujo de reservas</t>
  </si>
  <si>
    <t>Flujo general de navegación y trazabilidad</t>
  </si>
  <si>
    <t>Conexión de endpoints</t>
  </si>
  <si>
    <t>Conexión API–Supabase</t>
  </si>
  <si>
    <t>8.1, 4.3</t>
  </si>
  <si>
    <t>Desarrollo de lógica de negocio</t>
  </si>
  <si>
    <t>8.2, 7.2</t>
  </si>
  <si>
    <t>Configuración del broker MQTT</t>
  </si>
  <si>
    <t>Fernando y Santiago</t>
  </si>
  <si>
    <t>Formato y estándares de comunicación</t>
  </si>
  <si>
    <t>Pruebas de conexión MQTT</t>
  </si>
  <si>
    <t>9.2, 5.1</t>
  </si>
  <si>
    <t>En progreso</t>
  </si>
  <si>
    <t>Configuración de Stripe y flujo de pago</t>
  </si>
  <si>
    <t>8.3, 7.2</t>
  </si>
  <si>
    <t>Pruebas de transacciones</t>
  </si>
  <si>
    <t>Configuración de Firebase Cloud Messaging</t>
  </si>
  <si>
    <t>Envío de notificaciones push</t>
  </si>
  <si>
    <t>Cálculo del porcentaje de comisión</t>
  </si>
  <si>
    <t>Integración de comisión en backend</t>
  </si>
  <si>
    <t>Equipo estudiantil</t>
  </si>
  <si>
    <t>12.1, 8.3</t>
  </si>
  <si>
    <t>Recordatorios de reserva activa</t>
  </si>
  <si>
    <t>11.2, 7.2</t>
  </si>
  <si>
    <t>No iniciada</t>
  </si>
  <si>
    <t>Vista detallada de la reserva</t>
  </si>
  <si>
    <t>7.2, 13.1</t>
  </si>
  <si>
    <t>Registro de transacciones</t>
  </si>
  <si>
    <t>Formato de exportación de datos</t>
  </si>
  <si>
    <t>Conexión Arduino–Raspberry Pi</t>
  </si>
  <si>
    <t>5.3, 9.3</t>
  </si>
  <si>
    <t>Sincronización con backend</t>
  </si>
  <si>
    <t>15.1, 8.3</t>
  </si>
  <si>
    <t>Ensamble del hardware y prototipo</t>
  </si>
  <si>
    <t>Pruebas de detección del sensor</t>
  </si>
  <si>
    <t>Validación con backend</t>
  </si>
  <si>
    <t>Alberto y Santiago</t>
  </si>
  <si>
    <t>15.2, 16.2, 8.3</t>
  </si>
  <si>
    <t>Pruebas de comunicación</t>
  </si>
  <si>
    <t>Pruebas de interfaz</t>
  </si>
  <si>
    <t>7.3, 13.2, 14.2</t>
  </si>
  <si>
    <t>Corrección de errores</t>
  </si>
  <si>
    <t>17.2, 18.1</t>
  </si>
  <si>
    <t>Documentación del desarrollo del proyecto</t>
  </si>
  <si>
    <t>1.1-18.1</t>
  </si>
  <si>
    <t>Ajustes finales</t>
  </si>
  <si>
    <t>Presentación de lo desarrollado</t>
  </si>
  <si>
    <t>20.1, 19.1</t>
  </si>
  <si>
    <t>ACTIVIDAD</t>
  </si>
  <si>
    <t>RESPONSABLE</t>
  </si>
  <si>
    <t>INICIO</t>
  </si>
  <si>
    <t>FIN</t>
  </si>
  <si>
    <t>DURACIÓN (DÍAS)</t>
  </si>
  <si>
    <t>DEPENDENCIAS</t>
  </si>
  <si>
    <t>HITO</t>
  </si>
  <si>
    <t>ESTADO</t>
  </si>
  <si>
    <t>NO</t>
  </si>
  <si>
    <t>SÍ</t>
  </si>
  <si>
    <t>Conexión API–Supabase/PostgreSQL</t>
  </si>
  <si>
    <t>Todas las actividades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</si>
</sst>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/mm/yyyy"/>
    <numFmt numFmtId="166" formatCode="dd-mmm"/>
    <numFmt numFmtId="167" formatCode="d/m/yyyy"/>
  </numFmts>
  <fonts count="10">
    <font>
      <sz val="11.0"/>
      <color rgb="FF000000"/>
      <name val="Carlito"/>
      <scheme val="minor"/>
    </font>
    <font>
      <b/>
      <sz val="16.0"/>
      <color rgb="FFFFFFFF"/>
      <name val="Carlito"/>
    </font>
    <font>
      <sz val="10.0"/>
      <color rgb="FF38556F"/>
      <name val="Carlito"/>
    </font>
    <font>
      <b/>
      <sz val="10.0"/>
      <color rgb="FFFFFFFF"/>
      <name val="Carlito"/>
    </font>
    <font>
      <b/>
      <color rgb="FFFFFFFF"/>
      <name val="Calibri"/>
    </font>
    <font/>
    <font>
      <color theme="1"/>
      <name val="Carlito"/>
      <scheme val="minor"/>
    </font>
    <font>
      <sz val="11.0"/>
      <color theme="1"/>
      <name val="Carlito"/>
    </font>
    <font>
      <sz val="11.0"/>
      <color rgb="FF000000"/>
      <name val="Calibri"/>
    </font>
    <font>
      <b/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C2848"/>
        <bgColor rgb="FF0C2848"/>
      </patternFill>
    </fill>
    <fill>
      <patternFill patternType="solid">
        <fgColor rgb="FFEEF6FD"/>
        <bgColor rgb="FFEEF6FD"/>
      </patternFill>
    </fill>
    <fill>
      <patternFill patternType="solid">
        <fgColor rgb="FF2778C9"/>
        <bgColor rgb="FF2778C9"/>
      </patternFill>
    </fill>
    <fill>
      <patternFill patternType="solid">
        <fgColor rgb="FF38556F"/>
        <bgColor rgb="FF38556F"/>
      </patternFill>
    </fill>
    <fill>
      <patternFill patternType="solid">
        <fgColor theme="7"/>
        <bgColor theme="7"/>
      </patternFill>
    </fill>
    <fill>
      <patternFill patternType="solid">
        <fgColor rgb="FFCFE5F7"/>
        <bgColor rgb="FFCFE5F7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vertical="center"/>
    </xf>
    <xf borderId="2" fillId="5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0" fillId="0" fontId="6" numFmtId="164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4" fillId="6" fontId="4" numFmtId="166" xfId="0" applyAlignment="1" applyBorder="1" applyFill="1" applyFont="1" applyNumberFormat="1">
      <alignment horizontal="center" readingOrder="0" vertical="center"/>
    </xf>
    <xf borderId="5" fillId="6" fontId="4" numFmtId="0" xfId="0" applyAlignment="1" applyBorder="1" applyFill="1" applyFont="1">
      <alignment horizontal="center" readingOrder="0" vertical="center"/>
    </xf>
    <xf borderId="5" fillId="6" fontId="4" numFmtId="166" xfId="0" applyAlignment="1" applyBorder="1" applyFill="1" applyFont="1" applyNumberFormat="1">
      <alignment horizontal="center" readingOrder="0" vertical="center"/>
    </xf>
    <xf borderId="6" fillId="6" fontId="4" numFmtId="166" xfId="0" applyAlignment="1" applyBorder="1" applyFill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1"/>
    </xf>
    <xf borderId="1" fillId="7" fontId="8" numFmtId="0" xfId="0" applyAlignment="1" applyBorder="1" applyFill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7" fillId="7" fontId="8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0" fillId="7" fontId="8" numFmtId="0" xfId="0" applyAlignment="1" applyFill="1" applyFont="1">
      <alignment shrinkToFit="0" vertical="bottom" wrapText="0"/>
    </xf>
    <xf borderId="0" fillId="0" fontId="6" numFmtId="167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4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7" fontId="8" numFmtId="0" xfId="0" applyAlignment="1" applyBorder="1" applyFill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0" fillId="0" fontId="6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right"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167" xfId="0" applyAlignment="1" applyFont="1" applyNumberFormat="1">
      <alignment readingOrder="0"/>
    </xf>
    <xf borderId="0" fillId="8" fontId="6" numFmtId="165" xfId="0" applyAlignment="1" applyFill="1" applyFont="1" applyNumberFormat="1">
      <alignment readingOrder="0"/>
    </xf>
    <xf borderId="0" fillId="8" fontId="6" numFmtId="0" xfId="0" applyAlignment="1" applyFill="1" applyFont="1">
      <alignment horizontal="right" readingOrder="0"/>
    </xf>
    <xf borderId="0" fillId="8" fontId="6" numFmtId="167" xfId="0" applyAlignment="1" applyFill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FE5F7"/>
          <bgColor rgb="FFCFE5F7"/>
        </patternFill>
      </fill>
      <border/>
    </dxf>
  </dxfs>
  <tableStyles count="1">
    <tableStyle count="4" pivot="0" name="Schedu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I51" displayName="ScheduleTable" name="ScheduleTable" id="1">
  <tableColumns count="9">
    <tableColumn name="WBS ID" id="1"/>
    <tableColumn name="Actividad" id="2"/>
    <tableColumn name="Responsable" id="3"/>
    <tableColumn name="Inicio" id="4"/>
    <tableColumn name="Fin" id="5"/>
    <tableColumn name="Duración (días)" id="6"/>
    <tableColumn name="Dependencia" id="7"/>
    <tableColumn name="Hito" id="8"/>
    <tableColumn name="Estado" id="9"/>
  </tableColumns>
  <tableStyleInfo name="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0"/>
    <col customWidth="1" min="3" max="3" width="18.0"/>
    <col customWidth="1" min="4" max="6" width="13.0"/>
    <col customWidth="1" min="7" max="7" width="15.0"/>
    <col customWidth="1" min="8" max="8" width="10.0"/>
    <col customWidth="1" min="9" max="9" width="16.0"/>
    <col customWidth="1" min="10" max="21" width="11.0"/>
    <col customWidth="1" min="22" max="43" width="8.63"/>
  </cols>
  <sheetData>
    <row r="1" ht="30.0" customHeight="1">
      <c r="A1" s="1" t="s">
        <v>0</v>
      </c>
    </row>
    <row r="2" ht="27.75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  <c r="L4" s="5" t="s">
        <v>12</v>
      </c>
      <c r="M4" s="6"/>
      <c r="N4" s="6"/>
      <c r="O4" s="6"/>
      <c r="P4" s="5" t="s">
        <v>13</v>
      </c>
      <c r="Q4" s="6"/>
      <c r="R4" s="6"/>
      <c r="S4" s="6"/>
      <c r="T4" s="5" t="s">
        <v>14</v>
      </c>
      <c r="U4" s="6"/>
      <c r="V4" s="6"/>
      <c r="W4" s="6"/>
      <c r="X4" s="6"/>
      <c r="Y4" s="5" t="s">
        <v>15</v>
      </c>
      <c r="Z4" s="7"/>
    </row>
    <row r="5">
      <c r="A5" s="8">
        <v>46023.0</v>
      </c>
      <c r="B5" s="9" t="s">
        <v>16</v>
      </c>
      <c r="C5" s="10" t="s">
        <v>17</v>
      </c>
      <c r="D5" s="11">
        <v>46260.0</v>
      </c>
      <c r="E5" s="11">
        <v>46263.0</v>
      </c>
      <c r="F5" s="12">
        <f t="shared" ref="F5:F51" si="1">E5-D5+1</f>
        <v>4</v>
      </c>
      <c r="G5" s="13" t="s">
        <v>18</v>
      </c>
      <c r="H5" s="14" t="s">
        <v>19</v>
      </c>
      <c r="I5" s="14" t="s">
        <v>20</v>
      </c>
      <c r="K5" s="15">
        <v>46265.0</v>
      </c>
      <c r="L5" s="16" t="s">
        <v>21</v>
      </c>
      <c r="M5" s="16" t="s">
        <v>22</v>
      </c>
      <c r="N5" s="16" t="s">
        <v>23</v>
      </c>
      <c r="O5" s="16" t="s">
        <v>24</v>
      </c>
      <c r="P5" s="17">
        <v>46300.0</v>
      </c>
      <c r="Q5" s="17">
        <v>46307.0</v>
      </c>
      <c r="R5" s="17">
        <v>46314.0</v>
      </c>
      <c r="S5" s="17">
        <v>46321.0</v>
      </c>
      <c r="T5" s="17">
        <v>46328.0</v>
      </c>
      <c r="U5" s="17">
        <v>46335.0</v>
      </c>
      <c r="V5" s="17">
        <v>46342.0</v>
      </c>
      <c r="W5" s="17">
        <v>46349.0</v>
      </c>
      <c r="X5" s="17">
        <v>46356.0</v>
      </c>
      <c r="Y5" s="17">
        <v>46363.0</v>
      </c>
      <c r="Z5" s="18">
        <v>46370.0</v>
      </c>
    </row>
    <row r="6">
      <c r="A6" s="8">
        <v>46054.0</v>
      </c>
      <c r="B6" s="9" t="s">
        <v>25</v>
      </c>
      <c r="C6" s="10" t="s">
        <v>26</v>
      </c>
      <c r="D6" s="11">
        <v>46261.0</v>
      </c>
      <c r="E6" s="11">
        <v>46267.0</v>
      </c>
      <c r="F6" s="12">
        <f t="shared" si="1"/>
        <v>7</v>
      </c>
      <c r="G6" s="19">
        <v>46023.0</v>
      </c>
      <c r="H6" s="20" t="s">
        <v>19</v>
      </c>
      <c r="I6" s="14" t="s">
        <v>20</v>
      </c>
      <c r="K6" s="21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3"/>
    </row>
    <row r="7">
      <c r="A7" s="8">
        <v>46082.0</v>
      </c>
      <c r="B7" s="9" t="s">
        <v>27</v>
      </c>
      <c r="C7" s="10" t="s">
        <v>28</v>
      </c>
      <c r="D7" s="11">
        <v>46265.0</v>
      </c>
      <c r="E7" s="11">
        <v>46267.0</v>
      </c>
      <c r="F7" s="12">
        <f t="shared" si="1"/>
        <v>3</v>
      </c>
      <c r="G7" s="13" t="s">
        <v>29</v>
      </c>
      <c r="H7" s="14" t="s">
        <v>30</v>
      </c>
      <c r="I7" s="14" t="s">
        <v>20</v>
      </c>
      <c r="K7" s="24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6"/>
    </row>
    <row r="8">
      <c r="A8" s="8">
        <v>46024.0</v>
      </c>
      <c r="B8" s="9" t="s">
        <v>31</v>
      </c>
      <c r="C8" s="10" t="s">
        <v>17</v>
      </c>
      <c r="D8" s="11">
        <v>46262.0</v>
      </c>
      <c r="E8" s="11">
        <v>46266.0</v>
      </c>
      <c r="F8" s="12">
        <f t="shared" si="1"/>
        <v>5</v>
      </c>
      <c r="G8" s="19">
        <v>46023.0</v>
      </c>
      <c r="H8" s="20" t="s">
        <v>19</v>
      </c>
      <c r="I8" s="14" t="s">
        <v>20</v>
      </c>
      <c r="K8" s="24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6"/>
    </row>
    <row r="9">
      <c r="A9" s="8">
        <v>46055.0</v>
      </c>
      <c r="B9" s="9" t="s">
        <v>32</v>
      </c>
      <c r="C9" s="10" t="s">
        <v>28</v>
      </c>
      <c r="D9" s="11">
        <v>46266.0</v>
      </c>
      <c r="E9" s="11">
        <v>46270.0</v>
      </c>
      <c r="F9" s="12">
        <f t="shared" si="1"/>
        <v>5</v>
      </c>
      <c r="G9" s="19">
        <v>46024.0</v>
      </c>
      <c r="H9" s="20" t="s">
        <v>19</v>
      </c>
      <c r="I9" s="14" t="s">
        <v>20</v>
      </c>
      <c r="K9" s="24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6"/>
    </row>
    <row r="10">
      <c r="A10" s="8">
        <v>46083.0</v>
      </c>
      <c r="B10" s="9" t="s">
        <v>33</v>
      </c>
      <c r="C10" s="10" t="s">
        <v>26</v>
      </c>
      <c r="D10" s="11">
        <v>46268.0</v>
      </c>
      <c r="E10" s="11">
        <v>46270.0</v>
      </c>
      <c r="F10" s="12">
        <f t="shared" si="1"/>
        <v>3</v>
      </c>
      <c r="G10" s="19">
        <v>46055.0</v>
      </c>
      <c r="H10" s="14" t="s">
        <v>30</v>
      </c>
      <c r="I10" s="14" t="s">
        <v>20</v>
      </c>
      <c r="K10" s="24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6"/>
    </row>
    <row r="11">
      <c r="A11" s="8">
        <v>46025.0</v>
      </c>
      <c r="B11" s="9" t="s">
        <v>34</v>
      </c>
      <c r="C11" s="10" t="s">
        <v>17</v>
      </c>
      <c r="D11" s="11">
        <v>46272.0</v>
      </c>
      <c r="E11" s="11">
        <v>46275.0</v>
      </c>
      <c r="F11" s="12">
        <f t="shared" si="1"/>
        <v>4</v>
      </c>
      <c r="G11" s="19">
        <v>46082.0</v>
      </c>
      <c r="H11" s="20" t="s">
        <v>19</v>
      </c>
      <c r="I11" s="14" t="s">
        <v>20</v>
      </c>
      <c r="K11" s="27"/>
      <c r="L11" s="28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6"/>
    </row>
    <row r="12">
      <c r="A12" s="8">
        <v>46056.0</v>
      </c>
      <c r="B12" s="9" t="s">
        <v>35</v>
      </c>
      <c r="C12" s="10" t="s">
        <v>17</v>
      </c>
      <c r="D12" s="11">
        <v>46273.0</v>
      </c>
      <c r="E12" s="11">
        <v>46276.0</v>
      </c>
      <c r="F12" s="12">
        <f t="shared" si="1"/>
        <v>4</v>
      </c>
      <c r="G12" s="19">
        <v>46025.0</v>
      </c>
      <c r="H12" s="20" t="s">
        <v>19</v>
      </c>
      <c r="I12" s="14" t="s">
        <v>20</v>
      </c>
      <c r="K12" s="27"/>
      <c r="L12" s="28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>
      <c r="A13" s="8">
        <v>46084.0</v>
      </c>
      <c r="B13" s="9" t="s">
        <v>36</v>
      </c>
      <c r="C13" s="10" t="s">
        <v>17</v>
      </c>
      <c r="D13" s="11">
        <v>46275.0</v>
      </c>
      <c r="E13" s="11">
        <v>46278.0</v>
      </c>
      <c r="F13" s="12">
        <f t="shared" si="1"/>
        <v>4</v>
      </c>
      <c r="G13" s="13" t="s">
        <v>37</v>
      </c>
      <c r="H13" s="14" t="s">
        <v>30</v>
      </c>
      <c r="I13" s="14" t="s">
        <v>20</v>
      </c>
      <c r="K13" s="27"/>
      <c r="L13" s="28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6"/>
    </row>
    <row r="14">
      <c r="A14" s="8">
        <v>46026.0</v>
      </c>
      <c r="B14" s="9" t="s">
        <v>38</v>
      </c>
      <c r="C14" s="10" t="s">
        <v>39</v>
      </c>
      <c r="D14" s="11">
        <v>46272.0</v>
      </c>
      <c r="E14" s="11">
        <v>46275.0</v>
      </c>
      <c r="F14" s="12">
        <f t="shared" si="1"/>
        <v>4</v>
      </c>
      <c r="G14" s="19">
        <v>46082.0</v>
      </c>
      <c r="H14" s="20" t="s">
        <v>19</v>
      </c>
      <c r="I14" s="14" t="s">
        <v>20</v>
      </c>
      <c r="K14" s="27"/>
      <c r="L14" s="28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6"/>
    </row>
    <row r="15">
      <c r="A15" s="8">
        <v>46057.0</v>
      </c>
      <c r="B15" s="9" t="s">
        <v>40</v>
      </c>
      <c r="C15" s="10" t="s">
        <v>28</v>
      </c>
      <c r="D15" s="11">
        <v>46275.0</v>
      </c>
      <c r="E15" s="11">
        <v>46278.0</v>
      </c>
      <c r="F15" s="12">
        <f t="shared" si="1"/>
        <v>4</v>
      </c>
      <c r="G15" s="19">
        <v>46026.0</v>
      </c>
      <c r="H15" s="20" t="s">
        <v>19</v>
      </c>
      <c r="I15" s="14" t="s">
        <v>20</v>
      </c>
      <c r="K15" s="27"/>
      <c r="L15" s="28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>
      <c r="A16" s="8">
        <v>46085.0</v>
      </c>
      <c r="B16" s="9" t="s">
        <v>41</v>
      </c>
      <c r="C16" s="10" t="s">
        <v>42</v>
      </c>
      <c r="D16" s="11">
        <v>46279.0</v>
      </c>
      <c r="E16" s="11">
        <v>46282.0</v>
      </c>
      <c r="F16" s="12">
        <f t="shared" si="1"/>
        <v>4</v>
      </c>
      <c r="G16" s="19">
        <v>46057.0</v>
      </c>
      <c r="H16" s="14" t="s">
        <v>30</v>
      </c>
      <c r="I16" s="14" t="s">
        <v>20</v>
      </c>
      <c r="K16" s="27"/>
      <c r="L16" s="25"/>
      <c r="M16" s="28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>
      <c r="A17" s="8">
        <v>46027.0</v>
      </c>
      <c r="B17" s="9" t="s">
        <v>43</v>
      </c>
      <c r="C17" s="10" t="s">
        <v>26</v>
      </c>
      <c r="D17" s="11">
        <v>46286.0</v>
      </c>
      <c r="E17" s="11">
        <v>46287.0</v>
      </c>
      <c r="F17" s="12">
        <f t="shared" si="1"/>
        <v>2</v>
      </c>
      <c r="G17" s="13" t="s">
        <v>44</v>
      </c>
      <c r="H17" s="20" t="s">
        <v>19</v>
      </c>
      <c r="I17" s="14" t="s">
        <v>20</v>
      </c>
      <c r="K17" s="27"/>
      <c r="L17" s="25"/>
      <c r="M17" s="25"/>
      <c r="N17" s="28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</row>
    <row r="18">
      <c r="A18" s="8">
        <v>46058.0</v>
      </c>
      <c r="B18" s="9" t="s">
        <v>45</v>
      </c>
      <c r="C18" s="10" t="s">
        <v>26</v>
      </c>
      <c r="D18" s="11">
        <v>46289.0</v>
      </c>
      <c r="E18" s="11">
        <v>46290.0</v>
      </c>
      <c r="F18" s="12">
        <f t="shared" si="1"/>
        <v>2</v>
      </c>
      <c r="G18" s="19">
        <v>46027.0</v>
      </c>
      <c r="H18" s="20" t="s">
        <v>19</v>
      </c>
      <c r="I18" s="14" t="s">
        <v>20</v>
      </c>
      <c r="K18" s="27"/>
      <c r="L18" s="25"/>
      <c r="M18" s="25"/>
      <c r="N18" s="28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6"/>
    </row>
    <row r="19">
      <c r="A19" s="8">
        <v>46086.0</v>
      </c>
      <c r="B19" s="9" t="s">
        <v>46</v>
      </c>
      <c r="C19" s="10" t="s">
        <v>47</v>
      </c>
      <c r="D19" s="11">
        <v>46293.0</v>
      </c>
      <c r="E19" s="11">
        <v>46294.0</v>
      </c>
      <c r="F19" s="12">
        <f t="shared" si="1"/>
        <v>2</v>
      </c>
      <c r="G19" s="19">
        <v>46058.0</v>
      </c>
      <c r="H19" s="14" t="s">
        <v>30</v>
      </c>
      <c r="I19" s="14" t="s">
        <v>20</v>
      </c>
      <c r="K19" s="27"/>
      <c r="L19" s="25"/>
      <c r="M19" s="25"/>
      <c r="N19" s="25"/>
      <c r="O19" s="28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6"/>
    </row>
    <row r="20">
      <c r="A20" s="8">
        <v>46028.0</v>
      </c>
      <c r="B20" s="9" t="s">
        <v>48</v>
      </c>
      <c r="C20" s="10" t="s">
        <v>17</v>
      </c>
      <c r="D20" s="11">
        <v>46286.0</v>
      </c>
      <c r="E20" s="11">
        <v>46288.0</v>
      </c>
      <c r="F20" s="12">
        <f t="shared" si="1"/>
        <v>3</v>
      </c>
      <c r="G20" s="19">
        <v>46082.0</v>
      </c>
      <c r="H20" s="20" t="s">
        <v>19</v>
      </c>
      <c r="I20" s="14" t="s">
        <v>20</v>
      </c>
      <c r="K20" s="27"/>
      <c r="L20" s="25"/>
      <c r="M20" s="25"/>
      <c r="N20" s="28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6"/>
    </row>
    <row r="21" ht="15.75" customHeight="1">
      <c r="A21" s="8">
        <v>46059.0</v>
      </c>
      <c r="B21" s="9" t="s">
        <v>49</v>
      </c>
      <c r="C21" s="10" t="s">
        <v>17</v>
      </c>
      <c r="D21" s="11">
        <v>46289.0</v>
      </c>
      <c r="E21" s="11">
        <v>46289.0</v>
      </c>
      <c r="F21" s="12">
        <f t="shared" si="1"/>
        <v>1</v>
      </c>
      <c r="G21" s="19">
        <v>46028.0</v>
      </c>
      <c r="H21" s="14" t="s">
        <v>30</v>
      </c>
      <c r="I21" s="14" t="s">
        <v>20</v>
      </c>
      <c r="K21" s="27"/>
      <c r="L21" s="25"/>
      <c r="M21" s="25"/>
      <c r="N21" s="28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6"/>
    </row>
    <row r="22" ht="15.75" customHeight="1">
      <c r="A22" s="8">
        <v>46029.0</v>
      </c>
      <c r="B22" s="9" t="s">
        <v>50</v>
      </c>
      <c r="C22" s="10" t="s">
        <v>28</v>
      </c>
      <c r="D22" s="11">
        <v>46290.0</v>
      </c>
      <c r="E22" s="11">
        <v>46291.0</v>
      </c>
      <c r="F22" s="12">
        <f t="shared" si="1"/>
        <v>2</v>
      </c>
      <c r="G22" s="13" t="s">
        <v>51</v>
      </c>
      <c r="H22" s="20" t="s">
        <v>19</v>
      </c>
      <c r="I22" s="14" t="s">
        <v>20</v>
      </c>
      <c r="K22" s="27"/>
      <c r="L22" s="25"/>
      <c r="M22" s="25"/>
      <c r="N22" s="28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6"/>
    </row>
    <row r="23" ht="15.75" customHeight="1">
      <c r="A23" s="8">
        <v>46060.0</v>
      </c>
      <c r="B23" s="9" t="s">
        <v>52</v>
      </c>
      <c r="C23" s="10" t="s">
        <v>39</v>
      </c>
      <c r="D23" s="11">
        <v>46293.0</v>
      </c>
      <c r="E23" s="11">
        <v>46295.0</v>
      </c>
      <c r="F23" s="12">
        <f t="shared" si="1"/>
        <v>3</v>
      </c>
      <c r="G23" s="19">
        <v>46029.0</v>
      </c>
      <c r="H23" s="20" t="s">
        <v>19</v>
      </c>
      <c r="I23" s="14" t="s">
        <v>20</v>
      </c>
      <c r="K23" s="27"/>
      <c r="L23" s="25"/>
      <c r="M23" s="25"/>
      <c r="N23" s="25"/>
      <c r="O23" s="28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6"/>
    </row>
    <row r="24" ht="15.75" customHeight="1">
      <c r="A24" s="8">
        <v>46088.0</v>
      </c>
      <c r="B24" s="9" t="s">
        <v>53</v>
      </c>
      <c r="C24" s="10" t="s">
        <v>17</v>
      </c>
      <c r="D24" s="11">
        <v>46296.0</v>
      </c>
      <c r="E24" s="11">
        <v>46299.0</v>
      </c>
      <c r="F24" s="12">
        <f t="shared" si="1"/>
        <v>4</v>
      </c>
      <c r="G24" s="19">
        <v>46060.0</v>
      </c>
      <c r="H24" s="14" t="s">
        <v>30</v>
      </c>
      <c r="I24" s="14" t="s">
        <v>20</v>
      </c>
      <c r="K24" s="27"/>
      <c r="L24" s="25"/>
      <c r="M24" s="25"/>
      <c r="N24" s="25"/>
      <c r="O24" s="28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6"/>
    </row>
    <row r="25" ht="15.75" customHeight="1">
      <c r="A25" s="8">
        <v>46030.0</v>
      </c>
      <c r="B25" s="9" t="s">
        <v>54</v>
      </c>
      <c r="C25" s="10" t="s">
        <v>17</v>
      </c>
      <c r="D25" s="11">
        <v>46293.0</v>
      </c>
      <c r="E25" s="11">
        <v>46296.0</v>
      </c>
      <c r="F25" s="12">
        <f t="shared" si="1"/>
        <v>4</v>
      </c>
      <c r="G25" s="13" t="s">
        <v>44</v>
      </c>
      <c r="H25" s="20" t="s">
        <v>19</v>
      </c>
      <c r="I25" s="14" t="s">
        <v>20</v>
      </c>
      <c r="K25" s="27"/>
      <c r="L25" s="25"/>
      <c r="M25" s="25"/>
      <c r="N25" s="25"/>
      <c r="O25" s="28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6"/>
    </row>
    <row r="26" ht="15.75" customHeight="1">
      <c r="A26" s="8">
        <v>46061.0</v>
      </c>
      <c r="B26" s="9" t="s">
        <v>55</v>
      </c>
      <c r="C26" s="10" t="s">
        <v>17</v>
      </c>
      <c r="D26" s="11">
        <v>46297.0</v>
      </c>
      <c r="E26" s="11">
        <v>46299.0</v>
      </c>
      <c r="F26" s="12">
        <f t="shared" si="1"/>
        <v>3</v>
      </c>
      <c r="G26" s="13" t="s">
        <v>56</v>
      </c>
      <c r="H26" s="20" t="s">
        <v>19</v>
      </c>
      <c r="I26" s="14" t="s">
        <v>20</v>
      </c>
      <c r="K26" s="27"/>
      <c r="L26" s="25"/>
      <c r="M26" s="25"/>
      <c r="N26" s="25"/>
      <c r="O26" s="28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6"/>
    </row>
    <row r="27" ht="15.75" customHeight="1">
      <c r="A27" s="8">
        <v>46089.0</v>
      </c>
      <c r="B27" s="9" t="s">
        <v>57</v>
      </c>
      <c r="C27" s="10" t="s">
        <v>17</v>
      </c>
      <c r="D27" s="11">
        <v>46300.0</v>
      </c>
      <c r="E27" s="11">
        <v>46304.0</v>
      </c>
      <c r="F27" s="12">
        <f t="shared" si="1"/>
        <v>5</v>
      </c>
      <c r="G27" s="13" t="s">
        <v>58</v>
      </c>
      <c r="H27" s="14" t="s">
        <v>30</v>
      </c>
      <c r="I27" s="14" t="s">
        <v>20</v>
      </c>
      <c r="K27" s="27"/>
      <c r="L27" s="25"/>
      <c r="M27" s="25"/>
      <c r="N27" s="25"/>
      <c r="O27" s="25"/>
      <c r="P27" s="28"/>
      <c r="Q27" s="25"/>
      <c r="R27" s="25"/>
      <c r="S27" s="25"/>
      <c r="T27" s="25"/>
      <c r="U27" s="25"/>
      <c r="V27" s="25"/>
      <c r="W27" s="25"/>
      <c r="X27" s="25"/>
      <c r="Y27" s="25"/>
      <c r="Z27" s="26"/>
    </row>
    <row r="28" ht="15.75" customHeight="1">
      <c r="A28" s="8">
        <v>46031.0</v>
      </c>
      <c r="B28" s="9" t="s">
        <v>59</v>
      </c>
      <c r="C28" s="10" t="s">
        <v>60</v>
      </c>
      <c r="D28" s="11">
        <v>46293.0</v>
      </c>
      <c r="E28" s="11">
        <v>46295.0</v>
      </c>
      <c r="F28" s="12">
        <f t="shared" si="1"/>
        <v>3</v>
      </c>
      <c r="G28" s="19">
        <v>46084.0</v>
      </c>
      <c r="H28" s="20" t="s">
        <v>19</v>
      </c>
      <c r="I28" s="14" t="s">
        <v>20</v>
      </c>
      <c r="K28" s="27"/>
      <c r="L28" s="25"/>
      <c r="M28" s="25"/>
      <c r="N28" s="25"/>
      <c r="O28" s="28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6"/>
    </row>
    <row r="29" ht="15.75" customHeight="1">
      <c r="A29" s="8">
        <v>46062.0</v>
      </c>
      <c r="B29" s="9" t="s">
        <v>61</v>
      </c>
      <c r="C29" s="10" t="s">
        <v>60</v>
      </c>
      <c r="D29" s="11">
        <v>46296.0</v>
      </c>
      <c r="E29" s="11">
        <v>46297.0</v>
      </c>
      <c r="F29" s="12">
        <f t="shared" si="1"/>
        <v>2</v>
      </c>
      <c r="G29" s="19">
        <v>46031.0</v>
      </c>
      <c r="H29" s="20" t="s">
        <v>19</v>
      </c>
      <c r="I29" s="14" t="s">
        <v>20</v>
      </c>
      <c r="K29" s="27"/>
      <c r="L29" s="25"/>
      <c r="M29" s="25"/>
      <c r="N29" s="25"/>
      <c r="O29" s="28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6"/>
    </row>
    <row r="30" ht="15.75" customHeight="1">
      <c r="A30" s="8">
        <v>46090.0</v>
      </c>
      <c r="B30" s="9" t="s">
        <v>62</v>
      </c>
      <c r="C30" s="10" t="s">
        <v>17</v>
      </c>
      <c r="D30" s="11">
        <v>46300.0</v>
      </c>
      <c r="E30" s="11">
        <v>46300.0</v>
      </c>
      <c r="F30" s="12">
        <f t="shared" si="1"/>
        <v>1</v>
      </c>
      <c r="G30" s="13" t="s">
        <v>63</v>
      </c>
      <c r="H30" s="14" t="s">
        <v>30</v>
      </c>
      <c r="I30" s="14" t="s">
        <v>64</v>
      </c>
      <c r="K30" s="27"/>
      <c r="L30" s="25"/>
      <c r="M30" s="25"/>
      <c r="N30" s="25"/>
      <c r="O30" s="25"/>
      <c r="P30" s="28"/>
      <c r="Q30" s="25"/>
      <c r="R30" s="25"/>
      <c r="S30" s="25"/>
      <c r="T30" s="25"/>
      <c r="U30" s="25"/>
      <c r="V30" s="25"/>
      <c r="W30" s="25"/>
      <c r="X30" s="25"/>
      <c r="Y30" s="25"/>
      <c r="Z30" s="26"/>
    </row>
    <row r="31" ht="15.75" customHeight="1">
      <c r="A31" s="8">
        <v>46032.0</v>
      </c>
      <c r="B31" s="9" t="s">
        <v>65</v>
      </c>
      <c r="C31" s="10" t="s">
        <v>42</v>
      </c>
      <c r="D31" s="29">
        <v>46307.0</v>
      </c>
      <c r="E31" s="29">
        <v>46309.0</v>
      </c>
      <c r="F31" s="12">
        <f t="shared" si="1"/>
        <v>3</v>
      </c>
      <c r="G31" s="13" t="s">
        <v>66</v>
      </c>
      <c r="H31" s="20" t="s">
        <v>19</v>
      </c>
      <c r="I31" s="14" t="s">
        <v>20</v>
      </c>
      <c r="K31" s="27"/>
      <c r="L31" s="25"/>
      <c r="M31" s="25"/>
      <c r="N31" s="25"/>
      <c r="O31" s="25"/>
      <c r="P31" s="25"/>
      <c r="Q31" s="28"/>
      <c r="R31" s="25"/>
      <c r="S31" s="25"/>
      <c r="T31" s="25"/>
      <c r="U31" s="25"/>
      <c r="V31" s="25"/>
      <c r="W31" s="25"/>
      <c r="X31" s="25"/>
      <c r="Y31" s="25"/>
      <c r="Z31" s="26"/>
    </row>
    <row r="32" ht="15.75" customHeight="1">
      <c r="A32" s="8">
        <v>46063.0</v>
      </c>
      <c r="B32" s="9" t="s">
        <v>67</v>
      </c>
      <c r="C32" s="10" t="s">
        <v>42</v>
      </c>
      <c r="D32" s="29">
        <v>46310.0</v>
      </c>
      <c r="E32" s="29">
        <v>46311.0</v>
      </c>
      <c r="F32" s="12">
        <f t="shared" si="1"/>
        <v>2</v>
      </c>
      <c r="G32" s="19">
        <v>46032.0</v>
      </c>
      <c r="H32" s="14" t="s">
        <v>30</v>
      </c>
      <c r="I32" s="14" t="s">
        <v>64</v>
      </c>
      <c r="K32" s="27"/>
      <c r="L32" s="25"/>
      <c r="M32" s="25"/>
      <c r="N32" s="25"/>
      <c r="O32" s="25"/>
      <c r="P32" s="25"/>
      <c r="Q32" s="28"/>
      <c r="R32" s="25"/>
      <c r="S32" s="25"/>
      <c r="T32" s="25"/>
      <c r="U32" s="25"/>
      <c r="V32" s="25"/>
      <c r="W32" s="25"/>
      <c r="X32" s="25"/>
      <c r="Y32" s="25"/>
      <c r="Z32" s="26"/>
    </row>
    <row r="33" ht="15.75" customHeight="1">
      <c r="A33" s="8">
        <v>46033.0</v>
      </c>
      <c r="B33" s="9" t="s">
        <v>68</v>
      </c>
      <c r="C33" s="10" t="s">
        <v>47</v>
      </c>
      <c r="D33" s="29">
        <v>46307.0</v>
      </c>
      <c r="E33" s="29">
        <v>46308.0</v>
      </c>
      <c r="F33" s="12">
        <f t="shared" si="1"/>
        <v>2</v>
      </c>
      <c r="G33" s="19">
        <v>46029.0</v>
      </c>
      <c r="H33" s="20" t="s">
        <v>19</v>
      </c>
      <c r="I33" s="14" t="s">
        <v>64</v>
      </c>
      <c r="K33" s="27"/>
      <c r="L33" s="25"/>
      <c r="M33" s="25"/>
      <c r="N33" s="25"/>
      <c r="O33" s="25"/>
      <c r="P33" s="25"/>
      <c r="Q33" s="28"/>
      <c r="R33" s="25"/>
      <c r="S33" s="25"/>
      <c r="T33" s="25"/>
      <c r="U33" s="25"/>
      <c r="V33" s="25"/>
      <c r="W33" s="25"/>
      <c r="X33" s="25"/>
      <c r="Y33" s="25"/>
      <c r="Z33" s="26"/>
    </row>
    <row r="34" ht="15.75" customHeight="1">
      <c r="A34" s="8">
        <v>46064.0</v>
      </c>
      <c r="B34" s="9" t="s">
        <v>69</v>
      </c>
      <c r="C34" s="10" t="s">
        <v>26</v>
      </c>
      <c r="D34" s="29">
        <v>46309.0</v>
      </c>
      <c r="E34" s="29">
        <v>46309.0</v>
      </c>
      <c r="F34" s="12">
        <f t="shared" si="1"/>
        <v>1</v>
      </c>
      <c r="G34" s="19">
        <v>46033.0</v>
      </c>
      <c r="H34" s="14" t="s">
        <v>30</v>
      </c>
      <c r="I34" s="14" t="s">
        <v>64</v>
      </c>
      <c r="K34" s="27"/>
      <c r="L34" s="25"/>
      <c r="M34" s="25"/>
      <c r="N34" s="25"/>
      <c r="O34" s="25"/>
      <c r="P34" s="25"/>
      <c r="Q34" s="28"/>
      <c r="R34" s="25"/>
      <c r="S34" s="25"/>
      <c r="T34" s="25"/>
      <c r="U34" s="25"/>
      <c r="V34" s="25"/>
      <c r="W34" s="25"/>
      <c r="X34" s="25"/>
      <c r="Y34" s="25"/>
      <c r="Z34" s="26"/>
    </row>
    <row r="35" ht="15.75" customHeight="1">
      <c r="A35" s="8">
        <v>46034.0</v>
      </c>
      <c r="B35" s="9" t="s">
        <v>70</v>
      </c>
      <c r="C35" s="10" t="s">
        <v>39</v>
      </c>
      <c r="D35" s="29">
        <v>46307.0</v>
      </c>
      <c r="E35" s="29">
        <v>46307.0</v>
      </c>
      <c r="F35" s="12">
        <f t="shared" si="1"/>
        <v>1</v>
      </c>
      <c r="G35" s="19">
        <v>46089.0</v>
      </c>
      <c r="H35" s="20" t="s">
        <v>19</v>
      </c>
      <c r="I35" s="14" t="s">
        <v>20</v>
      </c>
      <c r="K35" s="27"/>
      <c r="L35" s="25"/>
      <c r="M35" s="25"/>
      <c r="N35" s="25"/>
      <c r="O35" s="25"/>
      <c r="P35" s="25"/>
      <c r="Q35" s="28"/>
      <c r="R35" s="25"/>
      <c r="S35" s="25"/>
      <c r="T35" s="25"/>
      <c r="U35" s="25"/>
      <c r="V35" s="25"/>
      <c r="W35" s="25"/>
      <c r="X35" s="25"/>
      <c r="Y35" s="25"/>
      <c r="Z35" s="26"/>
    </row>
    <row r="36" ht="15.75" customHeight="1">
      <c r="A36" s="8">
        <v>46065.0</v>
      </c>
      <c r="B36" s="9" t="s">
        <v>71</v>
      </c>
      <c r="C36" s="10" t="s">
        <v>72</v>
      </c>
      <c r="D36" s="29">
        <v>46308.0</v>
      </c>
      <c r="E36" s="29">
        <v>46311.0</v>
      </c>
      <c r="F36" s="12">
        <f t="shared" si="1"/>
        <v>4</v>
      </c>
      <c r="G36" s="13" t="s">
        <v>73</v>
      </c>
      <c r="H36" s="14" t="s">
        <v>30</v>
      </c>
      <c r="I36" s="14" t="s">
        <v>64</v>
      </c>
      <c r="K36" s="27"/>
      <c r="L36" s="25"/>
      <c r="M36" s="25"/>
      <c r="N36" s="25"/>
      <c r="O36" s="25"/>
      <c r="P36" s="25"/>
      <c r="Q36" s="28"/>
      <c r="R36" s="25"/>
      <c r="S36" s="25"/>
      <c r="T36" s="25"/>
      <c r="U36" s="25"/>
      <c r="V36" s="25"/>
      <c r="W36" s="25"/>
      <c r="X36" s="25"/>
      <c r="Y36" s="25"/>
      <c r="Z36" s="26"/>
    </row>
    <row r="37" ht="15.75" customHeight="1">
      <c r="A37" s="8">
        <v>46035.0</v>
      </c>
      <c r="B37" s="9" t="s">
        <v>74</v>
      </c>
      <c r="C37" s="10" t="s">
        <v>39</v>
      </c>
      <c r="D37" s="29">
        <v>46314.0</v>
      </c>
      <c r="E37" s="29">
        <v>46315.0</v>
      </c>
      <c r="F37" s="12">
        <f t="shared" si="1"/>
        <v>2</v>
      </c>
      <c r="G37" s="13" t="s">
        <v>75</v>
      </c>
      <c r="H37" s="20" t="s">
        <v>19</v>
      </c>
      <c r="I37" s="20" t="s">
        <v>76</v>
      </c>
      <c r="K37" s="27"/>
      <c r="L37" s="25"/>
      <c r="M37" s="25"/>
      <c r="N37" s="25"/>
      <c r="O37" s="25"/>
      <c r="P37" s="25"/>
      <c r="Q37" s="25"/>
      <c r="R37" s="28"/>
      <c r="S37" s="25"/>
      <c r="T37" s="25"/>
      <c r="U37" s="25"/>
      <c r="V37" s="25"/>
      <c r="W37" s="25"/>
      <c r="X37" s="25"/>
      <c r="Y37" s="25"/>
      <c r="Z37" s="26"/>
    </row>
    <row r="38" ht="15.75" customHeight="1">
      <c r="A38" s="8">
        <v>46066.0</v>
      </c>
      <c r="B38" s="9" t="s">
        <v>77</v>
      </c>
      <c r="C38" s="10" t="s">
        <v>39</v>
      </c>
      <c r="D38" s="29">
        <v>46316.0</v>
      </c>
      <c r="E38" s="29">
        <v>46317.0</v>
      </c>
      <c r="F38" s="12">
        <f t="shared" si="1"/>
        <v>2</v>
      </c>
      <c r="G38" s="13" t="s">
        <v>78</v>
      </c>
      <c r="H38" s="14" t="s">
        <v>30</v>
      </c>
      <c r="I38" s="20" t="s">
        <v>76</v>
      </c>
      <c r="K38" s="27"/>
      <c r="L38" s="25"/>
      <c r="M38" s="25"/>
      <c r="N38" s="25"/>
      <c r="O38" s="25"/>
      <c r="P38" s="25"/>
      <c r="Q38" s="25"/>
      <c r="R38" s="28"/>
      <c r="S38" s="25"/>
      <c r="T38" s="25"/>
      <c r="U38" s="25"/>
      <c r="V38" s="25"/>
      <c r="W38" s="25"/>
      <c r="X38" s="25"/>
      <c r="Y38" s="25"/>
      <c r="Z38" s="26"/>
    </row>
    <row r="39" ht="15.75" customHeight="1">
      <c r="A39" s="8">
        <v>46036.0</v>
      </c>
      <c r="B39" s="9" t="s">
        <v>79</v>
      </c>
      <c r="C39" s="10" t="s">
        <v>28</v>
      </c>
      <c r="D39" s="29">
        <v>46314.0</v>
      </c>
      <c r="E39" s="29">
        <v>46314.0</v>
      </c>
      <c r="F39" s="12">
        <f t="shared" si="1"/>
        <v>1</v>
      </c>
      <c r="G39" s="19">
        <v>46032.0</v>
      </c>
      <c r="H39" s="20" t="s">
        <v>19</v>
      </c>
      <c r="I39" s="20" t="s">
        <v>76</v>
      </c>
      <c r="K39" s="27"/>
      <c r="L39" s="25"/>
      <c r="M39" s="25"/>
      <c r="N39" s="25"/>
      <c r="O39" s="25"/>
      <c r="P39" s="25"/>
      <c r="Q39" s="25"/>
      <c r="R39" s="28"/>
      <c r="S39" s="25"/>
      <c r="T39" s="25"/>
      <c r="U39" s="25"/>
      <c r="V39" s="25"/>
      <c r="W39" s="25"/>
      <c r="X39" s="25"/>
      <c r="Y39" s="25"/>
      <c r="Z39" s="26"/>
    </row>
    <row r="40" ht="15.75" customHeight="1">
      <c r="A40" s="8">
        <v>46067.0</v>
      </c>
      <c r="B40" s="9" t="s">
        <v>80</v>
      </c>
      <c r="C40" s="10" t="s">
        <v>42</v>
      </c>
      <c r="D40" s="29">
        <v>46315.0</v>
      </c>
      <c r="E40" s="29">
        <v>46316.0</v>
      </c>
      <c r="F40" s="12">
        <f t="shared" si="1"/>
        <v>2</v>
      </c>
      <c r="G40" s="19">
        <v>46036.0</v>
      </c>
      <c r="H40" s="14" t="s">
        <v>30</v>
      </c>
      <c r="I40" s="20" t="s">
        <v>76</v>
      </c>
      <c r="K40" s="27"/>
      <c r="L40" s="25"/>
      <c r="M40" s="25"/>
      <c r="N40" s="25"/>
      <c r="O40" s="25"/>
      <c r="P40" s="25"/>
      <c r="Q40" s="25"/>
      <c r="R40" s="28"/>
      <c r="S40" s="25"/>
      <c r="T40" s="25"/>
      <c r="U40" s="25"/>
      <c r="V40" s="25"/>
      <c r="W40" s="25"/>
      <c r="X40" s="25"/>
      <c r="Y40" s="25"/>
      <c r="Z40" s="26"/>
    </row>
    <row r="41" ht="15.75" customHeight="1">
      <c r="A41" s="8">
        <v>46037.0</v>
      </c>
      <c r="B41" s="9" t="s">
        <v>81</v>
      </c>
      <c r="C41" s="10" t="s">
        <v>26</v>
      </c>
      <c r="D41" s="29">
        <v>46321.0</v>
      </c>
      <c r="E41" s="29">
        <v>46323.0</v>
      </c>
      <c r="F41" s="12">
        <f t="shared" si="1"/>
        <v>3</v>
      </c>
      <c r="G41" s="13" t="s">
        <v>82</v>
      </c>
      <c r="H41" s="20" t="s">
        <v>19</v>
      </c>
      <c r="I41" s="20" t="s">
        <v>76</v>
      </c>
      <c r="K41" s="27"/>
      <c r="L41" s="25"/>
      <c r="M41" s="25"/>
      <c r="N41" s="25"/>
      <c r="O41" s="25"/>
      <c r="P41" s="25"/>
      <c r="Q41" s="25"/>
      <c r="R41" s="25"/>
      <c r="S41" s="28"/>
      <c r="T41" s="25"/>
      <c r="U41" s="25"/>
      <c r="V41" s="25"/>
      <c r="W41" s="25"/>
      <c r="X41" s="25"/>
      <c r="Y41" s="25"/>
      <c r="Z41" s="26"/>
    </row>
    <row r="42" ht="15.75" customHeight="1">
      <c r="A42" s="8">
        <v>46068.0</v>
      </c>
      <c r="B42" s="9" t="s">
        <v>83</v>
      </c>
      <c r="C42" s="10" t="s">
        <v>72</v>
      </c>
      <c r="D42" s="29">
        <v>46324.0</v>
      </c>
      <c r="E42" s="11">
        <v>46328.0</v>
      </c>
      <c r="F42" s="12">
        <f t="shared" si="1"/>
        <v>5</v>
      </c>
      <c r="G42" s="13" t="s">
        <v>84</v>
      </c>
      <c r="H42" s="14" t="s">
        <v>30</v>
      </c>
      <c r="I42" s="20" t="s">
        <v>76</v>
      </c>
      <c r="K42" s="27"/>
      <c r="L42" s="25"/>
      <c r="M42" s="25"/>
      <c r="N42" s="25"/>
      <c r="O42" s="25"/>
      <c r="P42" s="25"/>
      <c r="Q42" s="25"/>
      <c r="R42" s="25"/>
      <c r="S42" s="28"/>
      <c r="T42" s="28"/>
      <c r="U42" s="25"/>
      <c r="V42" s="25"/>
      <c r="W42" s="25"/>
      <c r="X42" s="25"/>
      <c r="Y42" s="25"/>
      <c r="Z42" s="26"/>
    </row>
    <row r="43" ht="15.75" customHeight="1">
      <c r="A43" s="8">
        <v>46038.0</v>
      </c>
      <c r="B43" s="9" t="s">
        <v>85</v>
      </c>
      <c r="C43" s="10" t="s">
        <v>26</v>
      </c>
      <c r="D43" s="11">
        <v>46330.0</v>
      </c>
      <c r="E43" s="11">
        <v>46330.0</v>
      </c>
      <c r="F43" s="12">
        <f t="shared" si="1"/>
        <v>1</v>
      </c>
      <c r="G43" s="19">
        <v>46037.0</v>
      </c>
      <c r="H43" s="20" t="s">
        <v>19</v>
      </c>
      <c r="I43" s="20" t="s">
        <v>76</v>
      </c>
      <c r="K43" s="27"/>
      <c r="L43" s="25"/>
      <c r="M43" s="25"/>
      <c r="N43" s="25"/>
      <c r="O43" s="25"/>
      <c r="P43" s="25"/>
      <c r="Q43" s="25"/>
      <c r="R43" s="25"/>
      <c r="S43" s="25"/>
      <c r="T43" s="28"/>
      <c r="U43" s="25"/>
      <c r="V43" s="25"/>
      <c r="W43" s="25"/>
      <c r="X43" s="25"/>
      <c r="Y43" s="25"/>
      <c r="Z43" s="26"/>
    </row>
    <row r="44" ht="15.75" customHeight="1">
      <c r="A44" s="8">
        <v>46069.0</v>
      </c>
      <c r="B44" s="9" t="s">
        <v>86</v>
      </c>
      <c r="C44" s="10" t="s">
        <v>26</v>
      </c>
      <c r="D44" s="11">
        <v>46332.0</v>
      </c>
      <c r="E44" s="11">
        <v>46332.0</v>
      </c>
      <c r="F44" s="12">
        <f t="shared" si="1"/>
        <v>1</v>
      </c>
      <c r="G44" s="19">
        <v>46038.0</v>
      </c>
      <c r="H44" s="14" t="s">
        <v>30</v>
      </c>
      <c r="I44" s="20" t="s">
        <v>76</v>
      </c>
      <c r="K44" s="27"/>
      <c r="L44" s="25"/>
      <c r="M44" s="25"/>
      <c r="N44" s="25"/>
      <c r="O44" s="25"/>
      <c r="P44" s="25"/>
      <c r="Q44" s="25"/>
      <c r="R44" s="25"/>
      <c r="S44" s="25"/>
      <c r="T44" s="28"/>
      <c r="U44" s="25"/>
      <c r="V44" s="25"/>
      <c r="W44" s="25"/>
      <c r="X44" s="25"/>
      <c r="Y44" s="25"/>
      <c r="Z44" s="26"/>
    </row>
    <row r="45" ht="15.75" customHeight="1">
      <c r="A45" s="8">
        <v>46039.0</v>
      </c>
      <c r="B45" s="9" t="s">
        <v>87</v>
      </c>
      <c r="C45" s="10" t="s">
        <v>88</v>
      </c>
      <c r="D45" s="11">
        <v>46342.0</v>
      </c>
      <c r="E45" s="29">
        <v>46344.0</v>
      </c>
      <c r="F45" s="12">
        <f t="shared" si="1"/>
        <v>3</v>
      </c>
      <c r="G45" s="13" t="s">
        <v>89</v>
      </c>
      <c r="H45" s="20" t="s">
        <v>19</v>
      </c>
      <c r="I45" s="20" t="s">
        <v>76</v>
      </c>
      <c r="K45" s="27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8"/>
      <c r="W45" s="25"/>
      <c r="X45" s="25"/>
      <c r="Y45" s="25"/>
      <c r="Z45" s="26"/>
    </row>
    <row r="46" ht="15.75" customHeight="1">
      <c r="A46" s="8">
        <v>46070.0</v>
      </c>
      <c r="B46" s="9" t="s">
        <v>90</v>
      </c>
      <c r="C46" s="10" t="s">
        <v>17</v>
      </c>
      <c r="D46" s="29">
        <v>46346.0</v>
      </c>
      <c r="E46" s="29">
        <v>46347.0</v>
      </c>
      <c r="F46" s="12">
        <f t="shared" si="1"/>
        <v>2</v>
      </c>
      <c r="G46" s="19">
        <v>46039.0</v>
      </c>
      <c r="H46" s="14" t="s">
        <v>30</v>
      </c>
      <c r="I46" s="14" t="s">
        <v>76</v>
      </c>
      <c r="K46" s="27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8"/>
      <c r="W46" s="25"/>
      <c r="X46" s="25"/>
      <c r="Y46" s="25"/>
      <c r="Z46" s="26"/>
    </row>
    <row r="47" ht="15.75" customHeight="1">
      <c r="A47" s="8">
        <v>46040.0</v>
      </c>
      <c r="B47" s="9" t="s">
        <v>91</v>
      </c>
      <c r="C47" s="10" t="s">
        <v>17</v>
      </c>
      <c r="D47" s="29">
        <v>46350.0</v>
      </c>
      <c r="E47" s="29">
        <v>46352.0</v>
      </c>
      <c r="F47" s="12">
        <f t="shared" si="1"/>
        <v>3</v>
      </c>
      <c r="G47" s="13" t="s">
        <v>92</v>
      </c>
      <c r="H47" s="14" t="s">
        <v>19</v>
      </c>
      <c r="I47" s="14" t="s">
        <v>76</v>
      </c>
      <c r="K47" s="27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8"/>
      <c r="X47" s="25"/>
      <c r="Y47" s="25"/>
      <c r="Z47" s="26"/>
    </row>
    <row r="48" ht="15.75" customHeight="1">
      <c r="A48" s="8">
        <v>46071.0</v>
      </c>
      <c r="B48" s="9" t="s">
        <v>93</v>
      </c>
      <c r="C48" s="10" t="s">
        <v>17</v>
      </c>
      <c r="D48" s="29">
        <v>46357.0</v>
      </c>
      <c r="E48" s="29">
        <v>46360.0</v>
      </c>
      <c r="F48" s="12">
        <f t="shared" si="1"/>
        <v>4</v>
      </c>
      <c r="G48" s="13" t="s">
        <v>94</v>
      </c>
      <c r="H48" s="14" t="s">
        <v>30</v>
      </c>
      <c r="I48" s="14" t="s">
        <v>76</v>
      </c>
      <c r="K48" s="27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8"/>
      <c r="Y48" s="25"/>
      <c r="Z48" s="26"/>
    </row>
    <row r="49" ht="15.75" customHeight="1">
      <c r="A49" s="8">
        <v>46041.0</v>
      </c>
      <c r="B49" s="9" t="s">
        <v>95</v>
      </c>
      <c r="C49" s="10" t="s">
        <v>17</v>
      </c>
      <c r="D49" s="29">
        <v>46339.0</v>
      </c>
      <c r="E49" s="29">
        <v>46368.0</v>
      </c>
      <c r="F49" s="12">
        <f t="shared" si="1"/>
        <v>30</v>
      </c>
      <c r="G49" s="30" t="s">
        <v>96</v>
      </c>
      <c r="H49" s="14" t="s">
        <v>19</v>
      </c>
      <c r="I49" s="14" t="s">
        <v>76</v>
      </c>
      <c r="K49" s="27"/>
      <c r="L49" s="25"/>
      <c r="M49" s="25"/>
      <c r="N49" s="25"/>
      <c r="O49" s="25"/>
      <c r="P49" s="25"/>
      <c r="Q49" s="25"/>
      <c r="R49" s="25"/>
      <c r="S49" s="25"/>
      <c r="T49" s="25"/>
      <c r="U49" s="28"/>
      <c r="V49" s="28"/>
      <c r="W49" s="28"/>
      <c r="X49" s="28"/>
      <c r="Y49" s="28"/>
      <c r="Z49" s="26"/>
    </row>
    <row r="50" ht="15.75" customHeight="1">
      <c r="A50" s="8">
        <v>46042.0</v>
      </c>
      <c r="B50" s="9" t="s">
        <v>97</v>
      </c>
      <c r="C50" s="10" t="s">
        <v>17</v>
      </c>
      <c r="D50" s="29">
        <v>46364.0</v>
      </c>
      <c r="E50" s="29">
        <v>46366.0</v>
      </c>
      <c r="F50" s="12">
        <f t="shared" si="1"/>
        <v>3</v>
      </c>
      <c r="G50" s="31">
        <v>46071.0</v>
      </c>
      <c r="H50" s="14" t="s">
        <v>19</v>
      </c>
      <c r="I50" s="14" t="s">
        <v>76</v>
      </c>
      <c r="K50" s="27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8"/>
      <c r="Z50" s="26"/>
    </row>
    <row r="51" ht="15.75" customHeight="1">
      <c r="A51" s="8">
        <v>46073.0</v>
      </c>
      <c r="B51" s="9" t="s">
        <v>98</v>
      </c>
      <c r="C51" s="10" t="s">
        <v>17</v>
      </c>
      <c r="D51" s="11">
        <v>46367.0</v>
      </c>
      <c r="E51" s="11">
        <v>46368.0</v>
      </c>
      <c r="F51" s="12">
        <f t="shared" si="1"/>
        <v>2</v>
      </c>
      <c r="G51" s="30" t="s">
        <v>99</v>
      </c>
      <c r="H51" s="14" t="s">
        <v>30</v>
      </c>
      <c r="I51" s="14" t="s">
        <v>76</v>
      </c>
      <c r="K51" s="32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4"/>
      <c r="Z51" s="35"/>
    </row>
    <row r="52" ht="15.75" customHeight="1"/>
    <row r="53" ht="15.75" customHeight="1"/>
    <row r="54" ht="15.75" customHeight="1"/>
    <row r="55" ht="15.75" customHeight="1"/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>
      <c r="A158" s="37" t="s">
        <v>2</v>
      </c>
      <c r="B158" s="37" t="s">
        <v>100</v>
      </c>
      <c r="C158" s="37" t="s">
        <v>101</v>
      </c>
      <c r="D158" s="37" t="s">
        <v>102</v>
      </c>
      <c r="E158" s="37" t="s">
        <v>103</v>
      </c>
      <c r="F158" s="38" t="s">
        <v>104</v>
      </c>
      <c r="G158" s="37" t="s">
        <v>105</v>
      </c>
      <c r="H158" s="37" t="s">
        <v>106</v>
      </c>
      <c r="I158" s="37" t="s">
        <v>107</v>
      </c>
    </row>
    <row r="159" ht="15.75" customHeight="1">
      <c r="A159" s="39">
        <v>46023.0</v>
      </c>
      <c r="B159" s="40" t="s">
        <v>16</v>
      </c>
      <c r="C159" s="40" t="s">
        <v>17</v>
      </c>
      <c r="D159" s="41">
        <v>46260.0</v>
      </c>
      <c r="E159" s="41">
        <v>46263.0</v>
      </c>
      <c r="F159" s="42">
        <v>4.0</v>
      </c>
      <c r="G159" s="40" t="s">
        <v>18</v>
      </c>
      <c r="H159" s="43" t="s">
        <v>108</v>
      </c>
      <c r="I159" s="40" t="s">
        <v>20</v>
      </c>
    </row>
    <row r="160" ht="15.75" customHeight="1">
      <c r="A160" s="39">
        <v>46054.0</v>
      </c>
      <c r="B160" s="40" t="s">
        <v>25</v>
      </c>
      <c r="C160" s="40" t="s">
        <v>26</v>
      </c>
      <c r="D160" s="41">
        <v>46261.0</v>
      </c>
      <c r="E160" s="41">
        <v>46267.0</v>
      </c>
      <c r="F160" s="42">
        <v>7.0</v>
      </c>
      <c r="G160" s="39">
        <v>46023.0</v>
      </c>
      <c r="H160" s="43" t="s">
        <v>108</v>
      </c>
      <c r="I160" s="40" t="s">
        <v>20</v>
      </c>
    </row>
    <row r="161" ht="15.75" customHeight="1">
      <c r="A161" s="39">
        <v>46082.0</v>
      </c>
      <c r="B161" s="40" t="s">
        <v>27</v>
      </c>
      <c r="C161" s="40" t="s">
        <v>28</v>
      </c>
      <c r="D161" s="41">
        <v>46265.0</v>
      </c>
      <c r="E161" s="41">
        <v>46267.0</v>
      </c>
      <c r="F161" s="42">
        <v>3.0</v>
      </c>
      <c r="G161" s="40" t="s">
        <v>29</v>
      </c>
      <c r="H161" s="43" t="s">
        <v>109</v>
      </c>
      <c r="I161" s="40" t="s">
        <v>20</v>
      </c>
    </row>
    <row r="162" ht="15.75" customHeight="1">
      <c r="A162" s="39">
        <v>46024.0</v>
      </c>
      <c r="B162" s="40" t="s">
        <v>31</v>
      </c>
      <c r="C162" s="40" t="s">
        <v>17</v>
      </c>
      <c r="D162" s="41">
        <v>46262.0</v>
      </c>
      <c r="E162" s="41">
        <v>46266.0</v>
      </c>
      <c r="F162" s="42">
        <v>5.0</v>
      </c>
      <c r="G162" s="39">
        <v>46023.0</v>
      </c>
      <c r="H162" s="43" t="s">
        <v>108</v>
      </c>
      <c r="I162" s="40" t="s">
        <v>20</v>
      </c>
    </row>
    <row r="163" ht="15.75" customHeight="1">
      <c r="A163" s="39">
        <v>46055.0</v>
      </c>
      <c r="B163" s="40" t="s">
        <v>32</v>
      </c>
      <c r="C163" s="40" t="s">
        <v>28</v>
      </c>
      <c r="D163" s="41">
        <v>46266.0</v>
      </c>
      <c r="E163" s="41">
        <v>46270.0</v>
      </c>
      <c r="F163" s="42">
        <v>5.0</v>
      </c>
      <c r="G163" s="39">
        <v>46024.0</v>
      </c>
      <c r="H163" s="43" t="s">
        <v>108</v>
      </c>
      <c r="I163" s="40" t="s">
        <v>20</v>
      </c>
    </row>
    <row r="164" ht="15.75" customHeight="1">
      <c r="A164" s="39">
        <v>46083.0</v>
      </c>
      <c r="B164" s="40" t="s">
        <v>33</v>
      </c>
      <c r="C164" s="40" t="s">
        <v>26</v>
      </c>
      <c r="D164" s="41">
        <v>46268.0</v>
      </c>
      <c r="E164" s="41">
        <v>46270.0</v>
      </c>
      <c r="F164" s="42">
        <v>3.0</v>
      </c>
      <c r="G164" s="39">
        <v>46055.0</v>
      </c>
      <c r="H164" s="43" t="s">
        <v>109</v>
      </c>
      <c r="I164" s="40" t="s">
        <v>20</v>
      </c>
    </row>
    <row r="165" ht="15.75" customHeight="1">
      <c r="A165" s="39">
        <v>46025.0</v>
      </c>
      <c r="B165" s="40" t="s">
        <v>34</v>
      </c>
      <c r="C165" s="40" t="s">
        <v>17</v>
      </c>
      <c r="D165" s="41">
        <v>46272.0</v>
      </c>
      <c r="E165" s="41">
        <v>46275.0</v>
      </c>
      <c r="F165" s="42">
        <v>4.0</v>
      </c>
      <c r="G165" s="39">
        <v>46082.0</v>
      </c>
      <c r="H165" s="43" t="s">
        <v>108</v>
      </c>
      <c r="I165" s="40" t="s">
        <v>76</v>
      </c>
    </row>
    <row r="166" ht="15.75" customHeight="1">
      <c r="A166" s="39">
        <v>46056.0</v>
      </c>
      <c r="B166" s="40" t="s">
        <v>35</v>
      </c>
      <c r="C166" s="40" t="s">
        <v>17</v>
      </c>
      <c r="D166" s="41">
        <v>46273.0</v>
      </c>
      <c r="E166" s="41">
        <v>46276.0</v>
      </c>
      <c r="F166" s="42">
        <v>4.0</v>
      </c>
      <c r="G166" s="39">
        <v>46025.0</v>
      </c>
      <c r="H166" s="43" t="s">
        <v>108</v>
      </c>
      <c r="I166" s="40" t="s">
        <v>76</v>
      </c>
    </row>
    <row r="167" ht="15.75" customHeight="1">
      <c r="A167" s="39">
        <v>46084.0</v>
      </c>
      <c r="B167" s="40" t="s">
        <v>36</v>
      </c>
      <c r="C167" s="40" t="s">
        <v>17</v>
      </c>
      <c r="D167" s="41">
        <v>46275.0</v>
      </c>
      <c r="E167" s="41">
        <v>46278.0</v>
      </c>
      <c r="F167" s="42">
        <v>4.0</v>
      </c>
      <c r="G167" s="40" t="s">
        <v>37</v>
      </c>
      <c r="H167" s="43" t="s">
        <v>109</v>
      </c>
      <c r="I167" s="40" t="s">
        <v>76</v>
      </c>
    </row>
    <row r="168" ht="15.75" customHeight="1">
      <c r="A168" s="39">
        <v>46026.0</v>
      </c>
      <c r="B168" s="40" t="s">
        <v>38</v>
      </c>
      <c r="C168" s="40" t="s">
        <v>39</v>
      </c>
      <c r="D168" s="41">
        <v>46272.0</v>
      </c>
      <c r="E168" s="41">
        <v>46275.0</v>
      </c>
      <c r="F168" s="42">
        <v>4.0</v>
      </c>
      <c r="G168" s="39">
        <v>46082.0</v>
      </c>
      <c r="H168" s="43" t="s">
        <v>108</v>
      </c>
      <c r="I168" s="40" t="s">
        <v>76</v>
      </c>
    </row>
    <row r="169" ht="15.75" customHeight="1">
      <c r="A169" s="39">
        <v>46057.0</v>
      </c>
      <c r="B169" s="40" t="s">
        <v>40</v>
      </c>
      <c r="C169" s="40" t="s">
        <v>28</v>
      </c>
      <c r="D169" s="41">
        <v>46275.0</v>
      </c>
      <c r="E169" s="41">
        <v>46278.0</v>
      </c>
      <c r="F169" s="42">
        <v>4.0</v>
      </c>
      <c r="G169" s="39">
        <v>46026.0</v>
      </c>
      <c r="H169" s="43" t="s">
        <v>108</v>
      </c>
      <c r="I169" s="40" t="s">
        <v>76</v>
      </c>
    </row>
    <row r="170" ht="15.75" customHeight="1">
      <c r="A170" s="39">
        <v>46085.0</v>
      </c>
      <c r="B170" s="40" t="s">
        <v>41</v>
      </c>
      <c r="C170" s="40" t="s">
        <v>42</v>
      </c>
      <c r="D170" s="41">
        <v>46279.0</v>
      </c>
      <c r="E170" s="41">
        <v>46282.0</v>
      </c>
      <c r="F170" s="42">
        <v>4.0</v>
      </c>
      <c r="G170" s="39">
        <v>46057.0</v>
      </c>
      <c r="H170" s="43" t="s">
        <v>109</v>
      </c>
      <c r="I170" s="40" t="s">
        <v>76</v>
      </c>
    </row>
    <row r="171" ht="15.75" customHeight="1">
      <c r="A171" s="39">
        <v>46027.0</v>
      </c>
      <c r="B171" s="40" t="s">
        <v>43</v>
      </c>
      <c r="C171" s="40" t="s">
        <v>26</v>
      </c>
      <c r="D171" s="41">
        <v>46283.0</v>
      </c>
      <c r="E171" s="41">
        <v>46284.0</v>
      </c>
      <c r="F171" s="42">
        <v>2.0</v>
      </c>
      <c r="G171" s="40" t="s">
        <v>44</v>
      </c>
      <c r="H171" s="43" t="s">
        <v>108</v>
      </c>
      <c r="I171" s="40" t="s">
        <v>76</v>
      </c>
    </row>
    <row r="172" ht="15.75" customHeight="1">
      <c r="A172" s="39">
        <v>46058.0</v>
      </c>
      <c r="B172" s="40" t="s">
        <v>45</v>
      </c>
      <c r="C172" s="40" t="s">
        <v>26</v>
      </c>
      <c r="D172" s="41">
        <v>46285.0</v>
      </c>
      <c r="E172" s="41">
        <v>46286.0</v>
      </c>
      <c r="F172" s="42">
        <v>2.0</v>
      </c>
      <c r="G172" s="39">
        <v>46027.0</v>
      </c>
      <c r="H172" s="43" t="s">
        <v>108</v>
      </c>
      <c r="I172" s="40" t="s">
        <v>76</v>
      </c>
    </row>
    <row r="173" ht="15.75" customHeight="1">
      <c r="A173" s="39">
        <v>46086.0</v>
      </c>
      <c r="B173" s="40" t="s">
        <v>46</v>
      </c>
      <c r="C173" s="40" t="s">
        <v>47</v>
      </c>
      <c r="D173" s="41">
        <v>46287.0</v>
      </c>
      <c r="E173" s="41">
        <v>46288.0</v>
      </c>
      <c r="F173" s="42">
        <v>2.0</v>
      </c>
      <c r="G173" s="39">
        <v>46058.0</v>
      </c>
      <c r="H173" s="43" t="s">
        <v>109</v>
      </c>
      <c r="I173" s="40" t="s">
        <v>76</v>
      </c>
    </row>
    <row r="174" ht="15.75" customHeight="1">
      <c r="A174" s="39">
        <v>46028.0</v>
      </c>
      <c r="B174" s="40" t="s">
        <v>48</v>
      </c>
      <c r="C174" s="40" t="s">
        <v>17</v>
      </c>
      <c r="D174" s="41">
        <v>46279.0</v>
      </c>
      <c r="E174" s="41">
        <v>46281.0</v>
      </c>
      <c r="F174" s="42">
        <v>3.0</v>
      </c>
      <c r="G174" s="39">
        <v>46082.0</v>
      </c>
      <c r="H174" s="43" t="s">
        <v>108</v>
      </c>
      <c r="I174" s="40" t="s">
        <v>76</v>
      </c>
    </row>
    <row r="175" ht="15.75" customHeight="1">
      <c r="A175" s="39">
        <v>46059.0</v>
      </c>
      <c r="B175" s="40" t="s">
        <v>49</v>
      </c>
      <c r="C175" s="40" t="s">
        <v>17</v>
      </c>
      <c r="D175" s="41">
        <v>46282.0</v>
      </c>
      <c r="E175" s="41">
        <v>46282.0</v>
      </c>
      <c r="F175" s="42">
        <v>1.0</v>
      </c>
      <c r="G175" s="39">
        <v>46028.0</v>
      </c>
      <c r="H175" s="43" t="s">
        <v>109</v>
      </c>
      <c r="I175" s="40" t="s">
        <v>76</v>
      </c>
    </row>
    <row r="176" ht="15.75" customHeight="1">
      <c r="A176" s="39">
        <v>46029.0</v>
      </c>
      <c r="B176" s="40" t="s">
        <v>50</v>
      </c>
      <c r="C176" s="40" t="s">
        <v>28</v>
      </c>
      <c r="D176" s="41">
        <v>46283.0</v>
      </c>
      <c r="E176" s="41">
        <v>46284.0</v>
      </c>
      <c r="F176" s="42">
        <v>2.0</v>
      </c>
      <c r="G176" s="40" t="s">
        <v>51</v>
      </c>
      <c r="H176" s="43" t="s">
        <v>108</v>
      </c>
      <c r="I176" s="40" t="s">
        <v>76</v>
      </c>
    </row>
    <row r="177" ht="15.75" customHeight="1">
      <c r="A177" s="39">
        <v>46060.0</v>
      </c>
      <c r="B177" s="40" t="s">
        <v>52</v>
      </c>
      <c r="C177" s="40" t="s">
        <v>39</v>
      </c>
      <c r="D177" s="41">
        <v>46285.0</v>
      </c>
      <c r="E177" s="41">
        <v>46287.0</v>
      </c>
      <c r="F177" s="42">
        <v>3.0</v>
      </c>
      <c r="G177" s="39">
        <v>46029.0</v>
      </c>
      <c r="H177" s="43" t="s">
        <v>108</v>
      </c>
      <c r="I177" s="40" t="s">
        <v>76</v>
      </c>
    </row>
    <row r="178" ht="15.75" customHeight="1">
      <c r="A178" s="39">
        <v>46088.0</v>
      </c>
      <c r="B178" s="40" t="s">
        <v>53</v>
      </c>
      <c r="C178" s="40" t="s">
        <v>17</v>
      </c>
      <c r="D178" s="41">
        <v>46288.0</v>
      </c>
      <c r="E178" s="41">
        <v>46291.0</v>
      </c>
      <c r="F178" s="42">
        <v>4.0</v>
      </c>
      <c r="G178" s="39">
        <v>46060.0</v>
      </c>
      <c r="H178" s="43" t="s">
        <v>109</v>
      </c>
      <c r="I178" s="40" t="s">
        <v>76</v>
      </c>
    </row>
    <row r="179" ht="15.75" customHeight="1">
      <c r="A179" s="39">
        <v>46030.0</v>
      </c>
      <c r="B179" s="40" t="s">
        <v>54</v>
      </c>
      <c r="C179" s="40" t="s">
        <v>17</v>
      </c>
      <c r="D179" s="41">
        <v>46283.0</v>
      </c>
      <c r="E179" s="41">
        <v>46286.0</v>
      </c>
      <c r="F179" s="42">
        <v>4.0</v>
      </c>
      <c r="G179" s="40" t="s">
        <v>44</v>
      </c>
      <c r="H179" s="43" t="s">
        <v>108</v>
      </c>
      <c r="I179" s="40" t="s">
        <v>76</v>
      </c>
    </row>
    <row r="180" ht="15.75" customHeight="1">
      <c r="A180" s="39">
        <v>46061.0</v>
      </c>
      <c r="B180" s="40" t="s">
        <v>110</v>
      </c>
      <c r="C180" s="40" t="s">
        <v>17</v>
      </c>
      <c r="D180" s="41">
        <v>46287.0</v>
      </c>
      <c r="E180" s="41">
        <v>46289.0</v>
      </c>
      <c r="F180" s="42">
        <v>3.0</v>
      </c>
      <c r="G180" s="40" t="s">
        <v>56</v>
      </c>
      <c r="H180" s="43" t="s">
        <v>108</v>
      </c>
      <c r="I180" s="40" t="s">
        <v>76</v>
      </c>
    </row>
    <row r="181" ht="15.75" customHeight="1">
      <c r="A181" s="39">
        <v>46089.0</v>
      </c>
      <c r="B181" s="40" t="s">
        <v>57</v>
      </c>
      <c r="C181" s="40" t="s">
        <v>17</v>
      </c>
      <c r="D181" s="41">
        <v>46290.0</v>
      </c>
      <c r="E181" s="41">
        <v>46294.0</v>
      </c>
      <c r="F181" s="42">
        <v>5.0</v>
      </c>
      <c r="G181" s="40" t="s">
        <v>58</v>
      </c>
      <c r="H181" s="43" t="s">
        <v>109</v>
      </c>
      <c r="I181" s="40" t="s">
        <v>76</v>
      </c>
    </row>
    <row r="182" ht="15.75" customHeight="1">
      <c r="A182" s="39">
        <v>46031.0</v>
      </c>
      <c r="B182" s="40" t="s">
        <v>59</v>
      </c>
      <c r="C182" s="40" t="s">
        <v>60</v>
      </c>
      <c r="D182" s="41">
        <v>46283.0</v>
      </c>
      <c r="E182" s="41">
        <v>46285.0</v>
      </c>
      <c r="F182" s="42">
        <v>3.0</v>
      </c>
      <c r="G182" s="39">
        <v>46084.0</v>
      </c>
      <c r="H182" s="43" t="s">
        <v>108</v>
      </c>
      <c r="I182" s="40" t="s">
        <v>76</v>
      </c>
    </row>
    <row r="183" ht="15.75" customHeight="1">
      <c r="A183" s="39">
        <v>46062.0</v>
      </c>
      <c r="B183" s="40" t="s">
        <v>61</v>
      </c>
      <c r="C183" s="40" t="s">
        <v>60</v>
      </c>
      <c r="D183" s="41">
        <v>46286.0</v>
      </c>
      <c r="E183" s="41">
        <v>46287.0</v>
      </c>
      <c r="F183" s="42">
        <v>2.0</v>
      </c>
      <c r="G183" s="39">
        <v>46031.0</v>
      </c>
      <c r="H183" s="43" t="s">
        <v>108</v>
      </c>
      <c r="I183" s="40" t="s">
        <v>76</v>
      </c>
    </row>
    <row r="184" ht="15.75" customHeight="1">
      <c r="A184" s="39">
        <v>46090.0</v>
      </c>
      <c r="B184" s="40" t="s">
        <v>62</v>
      </c>
      <c r="C184" s="40" t="s">
        <v>17</v>
      </c>
      <c r="D184" s="41">
        <v>46288.0</v>
      </c>
      <c r="E184" s="41">
        <v>46288.0</v>
      </c>
      <c r="F184" s="42">
        <v>1.0</v>
      </c>
      <c r="G184" s="40" t="s">
        <v>63</v>
      </c>
      <c r="H184" s="43" t="s">
        <v>109</v>
      </c>
      <c r="I184" s="40" t="s">
        <v>76</v>
      </c>
    </row>
    <row r="185" ht="15.75" customHeight="1">
      <c r="A185" s="39">
        <v>46032.0</v>
      </c>
      <c r="B185" s="40" t="s">
        <v>65</v>
      </c>
      <c r="C185" s="40" t="s">
        <v>42</v>
      </c>
      <c r="D185" s="41">
        <v>46295.0</v>
      </c>
      <c r="E185" s="41">
        <v>46297.0</v>
      </c>
      <c r="F185" s="42">
        <v>3.0</v>
      </c>
      <c r="G185" s="40" t="s">
        <v>66</v>
      </c>
      <c r="H185" s="43" t="s">
        <v>108</v>
      </c>
      <c r="I185" s="40" t="s">
        <v>76</v>
      </c>
    </row>
    <row r="186" ht="15.75" customHeight="1">
      <c r="A186" s="39">
        <v>46063.0</v>
      </c>
      <c r="B186" s="40" t="s">
        <v>67</v>
      </c>
      <c r="C186" s="40" t="s">
        <v>42</v>
      </c>
      <c r="D186" s="41">
        <v>46298.0</v>
      </c>
      <c r="E186" s="41">
        <v>46299.0</v>
      </c>
      <c r="F186" s="42">
        <v>2.0</v>
      </c>
      <c r="G186" s="39">
        <v>46032.0</v>
      </c>
      <c r="H186" s="43" t="s">
        <v>109</v>
      </c>
      <c r="I186" s="40" t="s">
        <v>76</v>
      </c>
    </row>
    <row r="187" ht="15.75" customHeight="1">
      <c r="A187" s="39">
        <v>46033.0</v>
      </c>
      <c r="B187" s="40" t="s">
        <v>68</v>
      </c>
      <c r="C187" s="40" t="s">
        <v>47</v>
      </c>
      <c r="D187" s="41">
        <v>46295.0</v>
      </c>
      <c r="E187" s="41">
        <v>46296.0</v>
      </c>
      <c r="F187" s="42">
        <v>2.0</v>
      </c>
      <c r="G187" s="39">
        <v>46029.0</v>
      </c>
      <c r="H187" s="43" t="s">
        <v>108</v>
      </c>
      <c r="I187" s="40" t="s">
        <v>76</v>
      </c>
    </row>
    <row r="188" ht="15.75" customHeight="1">
      <c r="A188" s="39">
        <v>46064.0</v>
      </c>
      <c r="B188" s="40" t="s">
        <v>69</v>
      </c>
      <c r="C188" s="40" t="s">
        <v>26</v>
      </c>
      <c r="D188" s="41">
        <v>46297.0</v>
      </c>
      <c r="E188" s="41">
        <v>46297.0</v>
      </c>
      <c r="F188" s="42">
        <v>1.0</v>
      </c>
      <c r="G188" s="39">
        <v>46033.0</v>
      </c>
      <c r="H188" s="43" t="s">
        <v>109</v>
      </c>
      <c r="I188" s="40" t="s">
        <v>76</v>
      </c>
    </row>
    <row r="189" ht="15.75" customHeight="1">
      <c r="A189" s="39">
        <v>46034.0</v>
      </c>
      <c r="B189" s="40" t="s">
        <v>70</v>
      </c>
      <c r="C189" s="40" t="s">
        <v>39</v>
      </c>
      <c r="D189" s="41">
        <v>46295.0</v>
      </c>
      <c r="E189" s="41">
        <v>46295.0</v>
      </c>
      <c r="F189" s="42">
        <v>1.0</v>
      </c>
      <c r="G189" s="39">
        <v>46089.0</v>
      </c>
      <c r="H189" s="43" t="s">
        <v>108</v>
      </c>
      <c r="I189" s="40" t="s">
        <v>76</v>
      </c>
    </row>
    <row r="190" ht="15.75" customHeight="1">
      <c r="A190" s="39">
        <v>46065.0</v>
      </c>
      <c r="B190" s="40" t="s">
        <v>71</v>
      </c>
      <c r="C190" s="40" t="s">
        <v>72</v>
      </c>
      <c r="D190" s="41">
        <v>46296.0</v>
      </c>
      <c r="E190" s="41">
        <v>46299.0</v>
      </c>
      <c r="F190" s="42">
        <v>4.0</v>
      </c>
      <c r="G190" s="40" t="s">
        <v>73</v>
      </c>
      <c r="H190" s="43" t="s">
        <v>109</v>
      </c>
      <c r="I190" s="40" t="s">
        <v>76</v>
      </c>
    </row>
    <row r="191" ht="15.75" customHeight="1">
      <c r="A191" s="39">
        <v>46035.0</v>
      </c>
      <c r="B191" s="40" t="s">
        <v>74</v>
      </c>
      <c r="C191" s="40" t="s">
        <v>39</v>
      </c>
      <c r="D191" s="41">
        <v>46300.0</v>
      </c>
      <c r="E191" s="41">
        <v>46301.0</v>
      </c>
      <c r="F191" s="42">
        <v>2.0</v>
      </c>
      <c r="G191" s="40" t="s">
        <v>75</v>
      </c>
      <c r="H191" s="43" t="s">
        <v>108</v>
      </c>
      <c r="I191" s="40" t="s">
        <v>76</v>
      </c>
    </row>
    <row r="192" ht="15.75" customHeight="1">
      <c r="A192" s="39">
        <v>46066.0</v>
      </c>
      <c r="B192" s="40" t="s">
        <v>77</v>
      </c>
      <c r="C192" s="40" t="s">
        <v>39</v>
      </c>
      <c r="D192" s="41">
        <v>46302.0</v>
      </c>
      <c r="E192" s="41">
        <v>46303.0</v>
      </c>
      <c r="F192" s="42">
        <v>2.0</v>
      </c>
      <c r="G192" s="40" t="s">
        <v>78</v>
      </c>
      <c r="H192" s="43" t="s">
        <v>109</v>
      </c>
      <c r="I192" s="40" t="s">
        <v>76</v>
      </c>
    </row>
    <row r="193" ht="15.75" customHeight="1">
      <c r="A193" s="39">
        <v>46036.0</v>
      </c>
      <c r="B193" s="40" t="s">
        <v>79</v>
      </c>
      <c r="C193" s="40" t="s">
        <v>28</v>
      </c>
      <c r="D193" s="41">
        <v>46300.0</v>
      </c>
      <c r="E193" s="41">
        <v>46300.0</v>
      </c>
      <c r="F193" s="42">
        <v>1.0</v>
      </c>
      <c r="G193" s="39">
        <v>46032.0</v>
      </c>
      <c r="H193" s="43" t="s">
        <v>108</v>
      </c>
      <c r="I193" s="40" t="s">
        <v>76</v>
      </c>
    </row>
    <row r="194" ht="15.75" customHeight="1">
      <c r="A194" s="39">
        <v>46067.0</v>
      </c>
      <c r="B194" s="40" t="s">
        <v>80</v>
      </c>
      <c r="C194" s="40" t="s">
        <v>42</v>
      </c>
      <c r="D194" s="41">
        <v>46301.0</v>
      </c>
      <c r="E194" s="41">
        <v>46302.0</v>
      </c>
      <c r="F194" s="42">
        <v>2.0</v>
      </c>
      <c r="G194" s="39">
        <v>46036.0</v>
      </c>
      <c r="H194" s="43" t="s">
        <v>109</v>
      </c>
      <c r="I194" s="40" t="s">
        <v>76</v>
      </c>
    </row>
    <row r="195" ht="15.75" customHeight="1">
      <c r="A195" s="39">
        <v>46037.0</v>
      </c>
      <c r="B195" s="40" t="s">
        <v>81</v>
      </c>
      <c r="C195" s="40" t="s">
        <v>26</v>
      </c>
      <c r="D195" s="41">
        <v>46289.0</v>
      </c>
      <c r="E195" s="41">
        <v>46291.0</v>
      </c>
      <c r="F195" s="42">
        <v>3.0</v>
      </c>
      <c r="G195" s="40" t="s">
        <v>82</v>
      </c>
      <c r="H195" s="43" t="s">
        <v>108</v>
      </c>
      <c r="I195" s="40" t="s">
        <v>76</v>
      </c>
    </row>
    <row r="196" ht="15.75" customHeight="1">
      <c r="A196" s="39">
        <v>46068.0</v>
      </c>
      <c r="B196" s="40" t="s">
        <v>83</v>
      </c>
      <c r="C196" s="40" t="s">
        <v>72</v>
      </c>
      <c r="D196" s="41">
        <v>46292.0</v>
      </c>
      <c r="E196" s="41">
        <v>46296.0</v>
      </c>
      <c r="F196" s="42">
        <v>5.0</v>
      </c>
      <c r="G196" s="40" t="s">
        <v>84</v>
      </c>
      <c r="H196" s="43" t="s">
        <v>109</v>
      </c>
      <c r="I196" s="40" t="s">
        <v>76</v>
      </c>
    </row>
    <row r="197" ht="15.75" customHeight="1">
      <c r="A197" s="39">
        <v>46038.0</v>
      </c>
      <c r="B197" s="40" t="s">
        <v>85</v>
      </c>
      <c r="C197" s="40" t="s">
        <v>26</v>
      </c>
      <c r="D197" s="41">
        <v>46297.0</v>
      </c>
      <c r="E197" s="41">
        <v>46297.0</v>
      </c>
      <c r="F197" s="42">
        <v>1.0</v>
      </c>
      <c r="G197" s="39">
        <v>46037.0</v>
      </c>
      <c r="H197" s="43" t="s">
        <v>108</v>
      </c>
      <c r="I197" s="40" t="s">
        <v>76</v>
      </c>
    </row>
    <row r="198" ht="15.75" customHeight="1">
      <c r="A198" s="39">
        <v>46069.0</v>
      </c>
      <c r="B198" s="40" t="s">
        <v>86</v>
      </c>
      <c r="C198" s="40" t="s">
        <v>26</v>
      </c>
      <c r="D198" s="41">
        <v>46298.0</v>
      </c>
      <c r="E198" s="41">
        <v>46298.0</v>
      </c>
      <c r="F198" s="42">
        <v>1.0</v>
      </c>
      <c r="G198" s="39">
        <v>46038.0</v>
      </c>
      <c r="H198" s="43" t="s">
        <v>109</v>
      </c>
      <c r="I198" s="40" t="s">
        <v>76</v>
      </c>
    </row>
    <row r="199" ht="15.75" customHeight="1">
      <c r="A199" s="39">
        <v>46039.0</v>
      </c>
      <c r="B199" s="40" t="s">
        <v>87</v>
      </c>
      <c r="C199" s="40" t="s">
        <v>88</v>
      </c>
      <c r="D199" s="41">
        <v>46304.0</v>
      </c>
      <c r="E199" s="44">
        <v>46306.0</v>
      </c>
      <c r="F199" s="42">
        <v>3.0</v>
      </c>
      <c r="G199" s="40" t="s">
        <v>89</v>
      </c>
      <c r="H199" s="43" t="s">
        <v>108</v>
      </c>
      <c r="I199" s="40" t="s">
        <v>76</v>
      </c>
    </row>
    <row r="200" ht="15.75" customHeight="1">
      <c r="A200" s="39">
        <v>46070.0</v>
      </c>
      <c r="B200" s="40" t="s">
        <v>90</v>
      </c>
      <c r="C200" s="40" t="s">
        <v>17</v>
      </c>
      <c r="D200" s="44">
        <v>46307.0</v>
      </c>
      <c r="E200" s="44">
        <v>46308.0</v>
      </c>
      <c r="F200" s="42">
        <v>2.0</v>
      </c>
      <c r="G200" s="39">
        <v>46039.0</v>
      </c>
      <c r="H200" s="43" t="s">
        <v>109</v>
      </c>
      <c r="I200" s="40" t="s">
        <v>76</v>
      </c>
    </row>
    <row r="201" ht="15.75" customHeight="1">
      <c r="A201" s="39">
        <v>46040.0</v>
      </c>
      <c r="B201" s="40" t="s">
        <v>91</v>
      </c>
      <c r="C201" s="40" t="s">
        <v>17</v>
      </c>
      <c r="D201" s="44">
        <v>46309.0</v>
      </c>
      <c r="E201" s="44">
        <v>46311.0</v>
      </c>
      <c r="F201" s="42">
        <v>3.0</v>
      </c>
      <c r="G201" s="40" t="s">
        <v>92</v>
      </c>
      <c r="H201" s="43" t="s">
        <v>108</v>
      </c>
      <c r="I201" s="40" t="s">
        <v>76</v>
      </c>
    </row>
    <row r="202" ht="15.75" customHeight="1">
      <c r="A202" s="39">
        <v>46071.0</v>
      </c>
      <c r="B202" s="40" t="s">
        <v>93</v>
      </c>
      <c r="C202" s="40" t="s">
        <v>17</v>
      </c>
      <c r="D202" s="44">
        <v>46312.0</v>
      </c>
      <c r="E202" s="44">
        <v>46315.0</v>
      </c>
      <c r="F202" s="42">
        <v>4.0</v>
      </c>
      <c r="G202" s="40" t="s">
        <v>94</v>
      </c>
      <c r="H202" s="43" t="s">
        <v>109</v>
      </c>
      <c r="I202" s="40" t="s">
        <v>76</v>
      </c>
    </row>
    <row r="203" ht="15.75" customHeight="1">
      <c r="A203" s="39">
        <v>46041.0</v>
      </c>
      <c r="B203" s="40" t="s">
        <v>95</v>
      </c>
      <c r="C203" s="40" t="s">
        <v>17</v>
      </c>
      <c r="D203" s="45">
        <v>46260.0</v>
      </c>
      <c r="E203" s="45">
        <v>46333.0</v>
      </c>
      <c r="F203" s="46">
        <v>74.0</v>
      </c>
      <c r="G203" s="40" t="s">
        <v>111</v>
      </c>
      <c r="H203" s="43" t="s">
        <v>108</v>
      </c>
      <c r="I203" s="40" t="s">
        <v>64</v>
      </c>
    </row>
    <row r="204" ht="15.75" customHeight="1">
      <c r="A204" s="39">
        <v>46042.0</v>
      </c>
      <c r="B204" s="40" t="s">
        <v>97</v>
      </c>
      <c r="C204" s="40" t="s">
        <v>17</v>
      </c>
      <c r="D204" s="47">
        <v>46316.0</v>
      </c>
      <c r="E204" s="45">
        <v>46329.0</v>
      </c>
      <c r="F204" s="46">
        <v>14.0</v>
      </c>
      <c r="G204" s="39">
        <v>46071.0</v>
      </c>
      <c r="H204" s="43" t="s">
        <v>108</v>
      </c>
      <c r="I204" s="40" t="s">
        <v>76</v>
      </c>
    </row>
    <row r="205" ht="15.75" customHeight="1">
      <c r="A205" s="39">
        <v>46073.0</v>
      </c>
      <c r="B205" s="40" t="s">
        <v>98</v>
      </c>
      <c r="C205" s="40" t="s">
        <v>17</v>
      </c>
      <c r="D205" s="41">
        <v>46333.0</v>
      </c>
      <c r="E205" s="41">
        <v>46334.0</v>
      </c>
      <c r="F205" s="42">
        <v>2.0</v>
      </c>
      <c r="G205" s="40" t="s">
        <v>99</v>
      </c>
      <c r="H205" s="43" t="s">
        <v>109</v>
      </c>
      <c r="I205" s="40" t="s">
        <v>76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U1"/>
    <mergeCell ref="A2:U2"/>
    <mergeCell ref="L4:O4"/>
    <mergeCell ref="P4:S4"/>
    <mergeCell ref="T4:X4"/>
    <mergeCell ref="Y4:Z4"/>
  </mergeCells>
  <conditionalFormatting sqref="J5">
    <cfRule type="expression" dxfId="5" priority="1">
      <formula>AND(J$4&lt;=$E5,J$4+6&gt;=$D5)</formula>
    </cfRule>
  </conditionalFormatting>
  <conditionalFormatting sqref="J6:Y6">
    <cfRule type="expression" dxfId="5" priority="2">
      <formula>AND(J$4&lt;=$E6,J$4+6&gt;=$D6)</formula>
    </cfRule>
  </conditionalFormatting>
  <conditionalFormatting sqref="J7:Y7">
    <cfRule type="expression" dxfId="5" priority="3">
      <formula>AND(J$4&lt;=$E7,J$4+6&gt;=$D7)</formula>
    </cfRule>
  </conditionalFormatting>
  <conditionalFormatting sqref="J8:Y8">
    <cfRule type="expression" dxfId="5" priority="4">
      <formula>AND(J$4&lt;=$E8,J$4+6&gt;=$D8)</formula>
    </cfRule>
  </conditionalFormatting>
  <conditionalFormatting sqref="J9:Y9">
    <cfRule type="expression" dxfId="5" priority="5">
      <formula>AND(J$4&lt;=$E9,J$4+6&gt;=$D9)</formula>
    </cfRule>
  </conditionalFormatting>
  <conditionalFormatting sqref="J10:Y10">
    <cfRule type="expression" dxfId="5" priority="6">
      <formula>AND(J$4&lt;=$E10,J$4+6&gt;=$D10)</formula>
    </cfRule>
  </conditionalFormatting>
  <conditionalFormatting sqref="J11:Y11">
    <cfRule type="expression" dxfId="5" priority="7">
      <formula>AND(J$4&lt;=$E11,J$4+6&gt;=$D11)</formula>
    </cfRule>
  </conditionalFormatting>
  <conditionalFormatting sqref="J12:Y12">
    <cfRule type="expression" dxfId="5" priority="8">
      <formula>AND(J$4&lt;=$E12,J$4+6&gt;=$D12)</formula>
    </cfRule>
  </conditionalFormatting>
  <conditionalFormatting sqref="J13:Y13">
    <cfRule type="expression" dxfId="5" priority="9">
      <formula>AND(J$4&lt;=$E13,J$4+6&gt;=$D13)</formula>
    </cfRule>
  </conditionalFormatting>
  <conditionalFormatting sqref="J14:Y14">
    <cfRule type="expression" dxfId="5" priority="10">
      <formula>AND(J$4&lt;=$E14,J$4+6&gt;=$D14)</formula>
    </cfRule>
  </conditionalFormatting>
  <conditionalFormatting sqref="J15:Y15">
    <cfRule type="expression" dxfId="5" priority="11">
      <formula>AND(J$4&lt;=$E15,J$4+6&gt;=$D15)</formula>
    </cfRule>
  </conditionalFormatting>
  <conditionalFormatting sqref="J16:Y16">
    <cfRule type="expression" dxfId="5" priority="12">
      <formula>AND(J$4&lt;=$E16,J$4+6&gt;=$D16)</formula>
    </cfRule>
  </conditionalFormatting>
  <conditionalFormatting sqref="J17:Y17">
    <cfRule type="expression" dxfId="5" priority="13">
      <formula>AND(J$4&lt;=$E17,J$4+6&gt;=$D17)</formula>
    </cfRule>
  </conditionalFormatting>
  <conditionalFormatting sqref="J18:Y18">
    <cfRule type="expression" dxfId="5" priority="14">
      <formula>AND(J$4&lt;=$E18,J$4+6&gt;=$D18)</formula>
    </cfRule>
  </conditionalFormatting>
  <conditionalFormatting sqref="J19:Y19">
    <cfRule type="expression" dxfId="5" priority="15">
      <formula>AND(J$4&lt;=$E19,J$4+6&gt;=$D19)</formula>
    </cfRule>
  </conditionalFormatting>
  <dataValidations>
    <dataValidation type="list" allowBlank="1" sqref="I5:I51">
      <formula1>"No iniciada,En progreso,Bloqueada,En revisión,Terminada"</formula1>
    </dataValidation>
    <dataValidation type="list" allowBlank="1" sqref="H5:H51">
      <formula1>"Sí,No"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